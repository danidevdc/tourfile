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niel\Desktop\files para app de crillontours\"/>
    </mc:Choice>
  </mc:AlternateContent>
  <xr:revisionPtr revIDLastSave="0" documentId="8_{EB803D36-D35C-4CC9-9793-8BA3AC0A24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DS" sheetId="1" r:id="rId1"/>
    <sheet name="Guias" sheetId="2" r:id="rId2"/>
    <sheet name="Hotel" sheetId="4" r:id="rId3"/>
    <sheet name="Vuelos" sheetId="3" r:id="rId4"/>
    <sheet name="Actividades" sheetId="5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F18" i="1"/>
  <c r="F17" i="1"/>
  <c r="I16" i="1"/>
  <c r="F16" i="1"/>
  <c r="F11" i="1"/>
  <c r="I11" i="1"/>
  <c r="F12" i="1"/>
  <c r="F13" i="1"/>
  <c r="I13" i="1"/>
  <c r="F14" i="1"/>
  <c r="F15" i="1"/>
  <c r="I15" i="1"/>
  <c r="F19" i="1"/>
  <c r="I19" i="1"/>
  <c r="F20" i="1"/>
  <c r="I20" i="1"/>
  <c r="F21" i="1"/>
  <c r="I21" i="1"/>
  <c r="I10" i="1"/>
  <c r="I22" i="1"/>
  <c r="F22" i="1"/>
  <c r="F10" i="1"/>
  <c r="F9" i="1"/>
  <c r="I9" i="1"/>
</calcChain>
</file>

<file path=xl/sharedStrings.xml><?xml version="1.0" encoding="utf-8"?>
<sst xmlns="http://schemas.openxmlformats.org/spreadsheetml/2006/main" count="493" uniqueCount="463">
  <si>
    <t>ORDEN DE SERVICIOS</t>
  </si>
  <si>
    <t>GUIA</t>
  </si>
  <si>
    <t>ADALID GUTIERREZ</t>
  </si>
  <si>
    <t>FILE:</t>
  </si>
  <si>
    <t>REF:</t>
  </si>
  <si>
    <t>N° PAX:</t>
  </si>
  <si>
    <t>HOTEL:</t>
  </si>
  <si>
    <t>PRESIDENTE</t>
  </si>
  <si>
    <t>FECHA</t>
  </si>
  <si>
    <t>HORA</t>
  </si>
  <si>
    <t>SERVICIO</t>
  </si>
  <si>
    <t>VUELO</t>
  </si>
  <si>
    <t>BUS</t>
  </si>
  <si>
    <t>CHOFER</t>
  </si>
  <si>
    <t>OBSERVACIONES</t>
  </si>
  <si>
    <t>TRF IN</t>
  </si>
  <si>
    <t>OB 305</t>
  </si>
  <si>
    <t>HD CITY+TELEFERICO+VALLE</t>
  </si>
  <si>
    <t>LP /I.SOL / I.LUNA / KASANI</t>
  </si>
  <si>
    <t>OBSERVACIONES:</t>
  </si>
  <si>
    <t>NOTA:</t>
  </si>
  <si>
    <t>GUIA DEBE PRESENTAR COPIA DE PASAPORTE DE PAX DESPUES DE CADA SERVICIO JUNTO A SU LIQUIDACION Y CAJA CHICA</t>
  </si>
  <si>
    <t>IVAN BLANCO</t>
  </si>
  <si>
    <t>LA CASONA</t>
  </si>
  <si>
    <t>TRF OUT</t>
  </si>
  <si>
    <t>LA PAZ/ SOL OV</t>
  </si>
  <si>
    <t>SOL/ KASANI</t>
  </si>
  <si>
    <t>NATALIA CAMARGO</t>
  </si>
  <si>
    <t>CTFI106303</t>
  </si>
  <si>
    <t>BUCHANAN x 02  REF:  EAK1K4</t>
  </si>
  <si>
    <t>EUROPA</t>
  </si>
  <si>
    <t>LA 890 *</t>
  </si>
  <si>
    <t>JHONNY</t>
  </si>
  <si>
    <t>PAX TIENEN PRE NOCHE</t>
  </si>
  <si>
    <t>CENA</t>
  </si>
  <si>
    <t>MANQA</t>
  </si>
  <si>
    <t>OB 960/580</t>
  </si>
  <si>
    <t>LA CAJA CHICA CUBRE 1 BOTELLA DE AGUA POR DÍA PARA CADA PAX, GUÍA Y CHOFER. NO INCLUYE TRANSFERS NI SERVICIOS EN EL LAGO.</t>
  </si>
  <si>
    <t>TODOS LOS GUÍAS DEBEN ENVIAR UN INFORME DIARIO POR WHATSAPP A LA SEÑORA JUDITH SOBRE LOS SERVICIOS REALIZADOS</t>
  </si>
  <si>
    <t>GUISELA FERNANDEZ</t>
  </si>
  <si>
    <t>KASANI/COPA/I.SOL OV</t>
  </si>
  <si>
    <t>I.SOL -KASANI</t>
  </si>
  <si>
    <t>GUIDO ALINAS</t>
  </si>
  <si>
    <t>CASA GRANDE SUITES</t>
  </si>
  <si>
    <t>KASANI/I.SOL/I.LUNA/LP</t>
  </si>
  <si>
    <t>OB 304</t>
  </si>
  <si>
    <t>BUS APTO/DESAGUADERO</t>
  </si>
  <si>
    <t>Walking city tour</t>
  </si>
  <si>
    <t>TELEFERICO</t>
  </si>
  <si>
    <t>LP/ HUATA</t>
  </si>
  <si>
    <t>Lista de Guías.</t>
  </si>
  <si>
    <t>SIN GUIA</t>
  </si>
  <si>
    <t>ABRAHAM ALVAREZ</t>
  </si>
  <si>
    <t>AGUSTIN ECHALAR</t>
  </si>
  <si>
    <t>ANA SPIELVOGEL</t>
  </si>
  <si>
    <t>BLADIMIR PORTUGAL</t>
  </si>
  <si>
    <t>CAROLA ARCE</t>
  </si>
  <si>
    <t>CHIKAKO TAKIYA</t>
  </si>
  <si>
    <t>DANIELA GARCIA</t>
  </si>
  <si>
    <t>ELAR VERA</t>
  </si>
  <si>
    <t>HENRY ROLDAN</t>
  </si>
  <si>
    <t>IRINA DEMIDENKO</t>
  </si>
  <si>
    <t>IVAR CUBA</t>
  </si>
  <si>
    <t>JAVIER LOZA</t>
  </si>
  <si>
    <t>JHANECA ROQUE</t>
  </si>
  <si>
    <t>JUAN PABLO SOCIAS</t>
  </si>
  <si>
    <t>LARA ESPAÑA</t>
  </si>
  <si>
    <t>MARCELO ALCON</t>
  </si>
  <si>
    <t>RAUL PIAGGIO</t>
  </si>
  <si>
    <t>RICARDO SALLUCA</t>
  </si>
  <si>
    <t>ROLANDO ASBUN</t>
  </si>
  <si>
    <t>RUDY YUQUE</t>
  </si>
  <si>
    <t>SANTIAGO BASCON</t>
  </si>
  <si>
    <t>XIMENA VASQUEZ</t>
  </si>
  <si>
    <t>DANIELA RODRIGO</t>
  </si>
  <si>
    <t>CLAUDIA SANZ</t>
  </si>
  <si>
    <t>CHIHIRO YAMAMURA</t>
  </si>
  <si>
    <t>MARICELA MERCADO</t>
  </si>
  <si>
    <t>CARLA NAVARRO</t>
  </si>
  <si>
    <t>FRANZ GEMIO</t>
  </si>
  <si>
    <t>DANTE CUETO</t>
  </si>
  <si>
    <t>PAMELA SALAS</t>
  </si>
  <si>
    <t>CECILIA FRANCO</t>
  </si>
  <si>
    <t>ANA LAURA CAMACHO</t>
  </si>
  <si>
    <t>ROBERTO ALVARADO</t>
  </si>
  <si>
    <t xml:space="preserve">HIROYUKI AKIMOTO </t>
  </si>
  <si>
    <t>ARMANDO A</t>
  </si>
  <si>
    <t>JORGE  LOPEZ</t>
  </si>
  <si>
    <t>MAURICIO MOLINA</t>
  </si>
  <si>
    <t>PAVEL ARANCIBIA</t>
  </si>
  <si>
    <t>Lista de Hoteles</t>
  </si>
  <si>
    <t>SELECCIONAR HOTEL</t>
  </si>
  <si>
    <t>ATIX</t>
  </si>
  <si>
    <t>CASA GRANDE</t>
  </si>
  <si>
    <t>CASA GRANDE EXPRES</t>
  </si>
  <si>
    <t>RITZ</t>
  </si>
  <si>
    <t>ROSARIO ILLAMPU</t>
  </si>
  <si>
    <t>GLORIA COPACABANA - PRESIDENTE</t>
  </si>
  <si>
    <t>CASA DE PIEDRA</t>
  </si>
  <si>
    <t>STANNUM</t>
  </si>
  <si>
    <t>MET</t>
  </si>
  <si>
    <t>MET - HOTEL BRISAS DEL SUR</t>
  </si>
  <si>
    <t>NAIRA HOSTAL</t>
  </si>
  <si>
    <t>HOTEL QANTU</t>
  </si>
  <si>
    <t>RENNOVA</t>
  </si>
  <si>
    <t>POSADA</t>
  </si>
  <si>
    <t>CAMINO REAL</t>
  </si>
  <si>
    <t>OFICINA</t>
  </si>
  <si>
    <t>CAMINO REAL SUITES</t>
  </si>
  <si>
    <t>ROSARIO DEL LAGO</t>
  </si>
  <si>
    <t>DOMICILIO</t>
  </si>
  <si>
    <t>HOTEL NOVUM</t>
  </si>
  <si>
    <t>HOTEL CALACOTO</t>
  </si>
  <si>
    <t>ONKEL APTO</t>
  </si>
  <si>
    <t>HOTEL SAGARNAGA</t>
  </si>
  <si>
    <t>Números de vuelo</t>
  </si>
  <si>
    <t>Observaciones</t>
  </si>
  <si>
    <t>servicio</t>
  </si>
  <si>
    <t>VUELO SALE 07:40 LPB/UYU</t>
  </si>
  <si>
    <t>VUELO LLEGA 10:15 UYU/LPB</t>
  </si>
  <si>
    <t>OB 673</t>
  </si>
  <si>
    <t>VUELO LLEGA 15:55 VVI/LPB</t>
  </si>
  <si>
    <t xml:space="preserve">OB 670 </t>
  </si>
  <si>
    <t>VUELO SALE 11:00 LPB/VVI</t>
  </si>
  <si>
    <t>OB 569</t>
  </si>
  <si>
    <t>VUELO LLEGA 22:05 SRE/LPB</t>
  </si>
  <si>
    <t xml:space="preserve">OB 680 </t>
  </si>
  <si>
    <t>VUELO SALE 17:05 LPB/VVI</t>
  </si>
  <si>
    <t>OB 977</t>
  </si>
  <si>
    <t>VUELO LLEGA 19:45 EZE/VVI/LPB</t>
  </si>
  <si>
    <t>OB 561</t>
  </si>
  <si>
    <t>VUELO LLEGA 09:40 SRE/LPB</t>
  </si>
  <si>
    <t>OB 960/708</t>
  </si>
  <si>
    <t>VUELO SALE 06:20 LPB/VVI/EZE</t>
  </si>
  <si>
    <t>OB 568</t>
  </si>
  <si>
    <t>VUELO SALE A LAS 20:25 LPB/SRE</t>
  </si>
  <si>
    <t>OB 571/606</t>
  </si>
  <si>
    <t>VUELO LLEGA 10:10 SRE/CBB/LPB</t>
  </si>
  <si>
    <t>OB 571/606 *</t>
  </si>
  <si>
    <t>VUELO LLEGA 10:55 SRE/CBB/LPB</t>
  </si>
  <si>
    <t>OB 661</t>
  </si>
  <si>
    <t>VUELO LLEGA 06:40 VVI/LPB</t>
  </si>
  <si>
    <t>OB 674</t>
  </si>
  <si>
    <t>VUELO SALE 15:30 LPB/VVI</t>
  </si>
  <si>
    <t>OB 680/ IB7795</t>
  </si>
  <si>
    <t>VUELO SALE 17:05 LPB/VVI/MAD</t>
  </si>
  <si>
    <t>OB 677</t>
  </si>
  <si>
    <t>VUELO LLEGA 18:25 VVI/LPB</t>
  </si>
  <si>
    <t>OB 743</t>
  </si>
  <si>
    <t>VUELO LLEGA  03:50 LIM/LPB</t>
  </si>
  <si>
    <t>OB 607</t>
  </si>
  <si>
    <t>VUELO SALE 11:05 LPB/CBB</t>
  </si>
  <si>
    <t>OB 626</t>
  </si>
  <si>
    <t>VUELO LLEGA 23:10 SRE/CBB/LPB</t>
  </si>
  <si>
    <t>OB 667</t>
  </si>
  <si>
    <t>VUELO LLEGA 10:15 VVI/LPB</t>
  </si>
  <si>
    <t>OB 605</t>
  </si>
  <si>
    <t>VUELO SALE 08:20 LPB/CBB</t>
  </si>
  <si>
    <t>OB 605/572</t>
  </si>
  <si>
    <t>VUELO SALE 08:20 LPB/CBB/SRE</t>
  </si>
  <si>
    <t>OB 746</t>
  </si>
  <si>
    <t>VUELO SALE 19:00 LPB/LIM</t>
  </si>
  <si>
    <t>OB 746 *</t>
  </si>
  <si>
    <t>VUELO SALE 19:45 LPB/LIM</t>
  </si>
  <si>
    <t>OB 573/610</t>
  </si>
  <si>
    <t>VUELO LLEGA 13:15 SRE/CBB/LPB</t>
  </si>
  <si>
    <t>OB 573/610 *  *</t>
  </si>
  <si>
    <t>VUELO LLEGA 13:10 SRE/CBB/LPB</t>
  </si>
  <si>
    <t>OB 960/736</t>
  </si>
  <si>
    <t>VUELO SALE 06:20 LPB/VVI/GRU</t>
  </si>
  <si>
    <t>OB 960</t>
  </si>
  <si>
    <t>VUELO SALE 06:20 LPB/VVI</t>
  </si>
  <si>
    <t>OB 682</t>
  </si>
  <si>
    <t>VUELO SALE 20:10 LPB/VVI</t>
  </si>
  <si>
    <t>OB 682/776</t>
  </si>
  <si>
    <t>VUELO SALE 20:10 LPB/VVI/MAD</t>
  </si>
  <si>
    <t>OB 662</t>
  </si>
  <si>
    <t>VUELO SALE 07:25 LPB/VVI</t>
  </si>
  <si>
    <t>OB 662/708</t>
  </si>
  <si>
    <t>VUELO SALE 07:25 LPB/VVI/EZE</t>
  </si>
  <si>
    <t>OB 735/977</t>
  </si>
  <si>
    <t>VUELO LLEGA  19:35 GRU/VVI/LPB</t>
  </si>
  <si>
    <t>OB 735/681</t>
  </si>
  <si>
    <t>VUELO LLEGA  20:00 GRU/VVI/LPB</t>
  </si>
  <si>
    <t>OB 601/570</t>
  </si>
  <si>
    <t>VUELO LLEGA 08:04 LPB/CBB/SRE</t>
  </si>
  <si>
    <t>OB 607/738</t>
  </si>
  <si>
    <t>VUELO SALE 11:05 LPB/CBB/GRU</t>
  </si>
  <si>
    <t>OB 680</t>
  </si>
  <si>
    <t>VUELO SALE A LAS 17:05 LPB/VVI</t>
  </si>
  <si>
    <t>OB 680/776</t>
  </si>
  <si>
    <t>OB 681</t>
  </si>
  <si>
    <t>VUELO LLEGA A LAS 20:05 VVI/LPB</t>
  </si>
  <si>
    <t>OB 961</t>
  </si>
  <si>
    <t>VUELO LLEGA 06:50 VVI/LPB</t>
  </si>
  <si>
    <t>OB 573/610 *</t>
  </si>
  <si>
    <t>OB 684/766</t>
  </si>
  <si>
    <t>VUELO SALE 20:30 LPB/VVI/MIA</t>
  </si>
  <si>
    <t>OB 670_</t>
  </si>
  <si>
    <t>VUELO SALE 11:45 LPB/VVI</t>
  </si>
  <si>
    <t xml:space="preserve"> OB 746 _</t>
  </si>
  <si>
    <t>VUELO SALE 19:25 LPB/MIA</t>
  </si>
  <si>
    <t>OB 607/324</t>
  </si>
  <si>
    <t>VUELO SALE 11:05 LPB/CBB/ORU</t>
  </si>
  <si>
    <t>OB 670/734</t>
  </si>
  <si>
    <t>OB 671</t>
  </si>
  <si>
    <t>VUELO LLEGA 14:40 VVI/LPB</t>
  </si>
  <si>
    <t>OB 581/669</t>
  </si>
  <si>
    <t>VUELO LLEGA 12:20 SRE/VVI/LPB</t>
  </si>
  <si>
    <t>OB 669</t>
  </si>
  <si>
    <t>VUELO LLEGA 12:20 VVI/LPB</t>
  </si>
  <si>
    <t>OB 709/681</t>
  </si>
  <si>
    <t>VUELO LLEGA 20:05 EZE/VVI/LPB</t>
  </si>
  <si>
    <t>OB 743 *</t>
  </si>
  <si>
    <t>VUELO LLEGA 03:35  LIM/LPB</t>
  </si>
  <si>
    <t>OB 735/677</t>
  </si>
  <si>
    <t>OB 603/572</t>
  </si>
  <si>
    <t>VUELO SALE 07:35 LPB/CBB/SRE</t>
  </si>
  <si>
    <t>OB 672</t>
  </si>
  <si>
    <t>VUELO SALE 13:15 LPB/VVI</t>
  </si>
  <si>
    <t>OB 560</t>
  </si>
  <si>
    <t>VUELO SALE 07:00 LPB/SRE</t>
  </si>
  <si>
    <t>OB 672/772</t>
  </si>
  <si>
    <t>VUELO SALE 13:15 LPB/VVI/MAD</t>
  </si>
  <si>
    <t>OB 709/977</t>
  </si>
  <si>
    <t>VUELO LLEGA 19:30 EZE/VVI/LPB</t>
  </si>
  <si>
    <t>OB 685</t>
  </si>
  <si>
    <t>VUELO LLEGA 11:05 VVI/LPB</t>
  </si>
  <si>
    <t>VUELO SALE 06:20 LPB/VVI/SRE</t>
  </si>
  <si>
    <t>8J 350</t>
  </si>
  <si>
    <t>VUELO SALE 08:00 LPB/RBQ</t>
  </si>
  <si>
    <t>8J 351</t>
  </si>
  <si>
    <t>VUELO LLEGA 09:50 RBQ/LPB</t>
  </si>
  <si>
    <t>8J 370</t>
  </si>
  <si>
    <t>VUELO SALE A LAS 08:20 LPB/UYU</t>
  </si>
  <si>
    <t>AV 104</t>
  </si>
  <si>
    <t>VUELO SALE 15:20 LPB/CUZ</t>
  </si>
  <si>
    <t>AV 105</t>
  </si>
  <si>
    <t>VUELO LLEGA 14:28 CUZ/LPB</t>
  </si>
  <si>
    <t>AV 105 *</t>
  </si>
  <si>
    <t>VUELO LLEGA 14:20 CUZ/LPB</t>
  </si>
  <si>
    <t>AV 105 * *</t>
  </si>
  <si>
    <t>VUELO LLEGA 13:46 CUZ/LPB</t>
  </si>
  <si>
    <t>AV 114</t>
  </si>
  <si>
    <t>VUELO SALE 19:25 LPB/BOG</t>
  </si>
  <si>
    <t>AV 113</t>
  </si>
  <si>
    <t>VUELO LLEGA 18:20 BOG/LPB</t>
  </si>
  <si>
    <t>AV 224</t>
  </si>
  <si>
    <t>VUELO SALE A LAS 03:15 LPB/BOG</t>
  </si>
  <si>
    <t>AV 239</t>
  </si>
  <si>
    <t>VUELO LLEGA 02:15 BOG/LPB</t>
  </si>
  <si>
    <t>AV 239 *</t>
  </si>
  <si>
    <t>VUELO LLEGA 02:10 BOG/LPB</t>
  </si>
  <si>
    <t>LA 2401</t>
  </si>
  <si>
    <t>VUELO SALE 05:30 LPB/LIM</t>
  </si>
  <si>
    <t>LA 2401 *</t>
  </si>
  <si>
    <t>VUELO SALE 06:00 LPB/LIM</t>
  </si>
  <si>
    <t>LA 2401 * *</t>
  </si>
  <si>
    <t>VUELO SALE 05:50 LPB/LIM</t>
  </si>
  <si>
    <t>LA 2401 _</t>
  </si>
  <si>
    <t>VUELO SALE 06:10 LPB/LIM</t>
  </si>
  <si>
    <t>LA 2400</t>
  </si>
  <si>
    <t>VUELO LLEGA 04:00 LIM/LPB</t>
  </si>
  <si>
    <t>LA 2400 *</t>
  </si>
  <si>
    <t>VUELO LLEGA 04:15 LIM/LPB</t>
  </si>
  <si>
    <t>LA 2400 * *</t>
  </si>
  <si>
    <t>VUELO LLEGA 03:55 LIM/LPB</t>
  </si>
  <si>
    <t>LA 2400 * * *</t>
  </si>
  <si>
    <t>LA 890</t>
  </si>
  <si>
    <t>VUELO SALE 08:14 LPB/VVI</t>
  </si>
  <si>
    <t>VUELO LLEGA 08:34 SCL/LP</t>
  </si>
  <si>
    <t>LA 890 * *</t>
  </si>
  <si>
    <t>VUELO SALE A LAS 09:14 LPB/VVI/SCL</t>
  </si>
  <si>
    <t>LA 890_</t>
  </si>
  <si>
    <t>VUELO LLEGA 07:34 SCL/LPB</t>
  </si>
  <si>
    <t xml:space="preserve"> IB 7795</t>
  </si>
  <si>
    <t>VUELO SALE 17:10 LPB/VVI</t>
  </si>
  <si>
    <t>RJ 85</t>
  </si>
  <si>
    <t>VUELO SALE  TBA LPB/RBQ</t>
  </si>
  <si>
    <t>VUELO LLEGA 21:55 SRE/LP</t>
  </si>
  <si>
    <t>ACTIVIDAD</t>
  </si>
  <si>
    <t>FD CITY+TELEFERICO+VALLE</t>
  </si>
  <si>
    <t>HD CITY+VALLE</t>
  </si>
  <si>
    <t>HD CITY+TELEFERICO</t>
  </si>
  <si>
    <t>LP- I.SOL - I.LUNA / OV POSADA</t>
  </si>
  <si>
    <t>KASANI - I.LUNA - I.SOL / OV POSADA</t>
  </si>
  <si>
    <t>FD LAGO</t>
  </si>
  <si>
    <t>KASANI - I.SOL - I.LUNA - HUATA / OV HUATA</t>
  </si>
  <si>
    <t>TIWANAKU</t>
  </si>
  <si>
    <t>I.SOL - LP</t>
  </si>
  <si>
    <t>LP/TIWANAKU/DESAGUADERO</t>
  </si>
  <si>
    <t>HD TIWANAKU</t>
  </si>
  <si>
    <t>FD TIWANAKU</t>
  </si>
  <si>
    <t>LP/HUATA OV</t>
  </si>
  <si>
    <t>PEÑA HUARI</t>
  </si>
  <si>
    <t>HUATA / SOL OV</t>
  </si>
  <si>
    <t>SOL/LP</t>
  </si>
  <si>
    <t>TIWANAKU - HUATA /HUATA OV</t>
  </si>
  <si>
    <t>HD TIWANAKU - HUATA /HUATA OV</t>
  </si>
  <si>
    <t>DESAGUADERO/TIWA/LP</t>
  </si>
  <si>
    <t>VISITA PROYECTO</t>
  </si>
  <si>
    <t>BUS PUNO/KASANI/COPA</t>
  </si>
  <si>
    <t>COPA/LP</t>
  </si>
  <si>
    <t>LP- I.SOL - I.LUNA - LP</t>
  </si>
  <si>
    <t>Yungas - Coroico/Senda Verde - FD</t>
  </si>
  <si>
    <t>HUATA / LUNA / SOL / LP</t>
  </si>
  <si>
    <t>CENA HOTEL NATIVA - ATIX</t>
  </si>
  <si>
    <t>CENA SABOR CLANDESTINO</t>
  </si>
  <si>
    <t>ALMUERZO REST. LA MURILLO</t>
  </si>
  <si>
    <t>COCO/LP</t>
  </si>
  <si>
    <t>ALMUERZO APTHAPI</t>
  </si>
  <si>
    <t>LIBRE</t>
  </si>
  <si>
    <t>I.SOL/HUATA/IRUITOS/HUATA/LP</t>
  </si>
  <si>
    <t>I.SOL/I.LUNA/COCO/LP</t>
  </si>
  <si>
    <t>LP/I.LUNA/I.SOL</t>
  </si>
  <si>
    <t>I.SOL/KASANI</t>
  </si>
  <si>
    <t>HUATA / LUNA / SOL / HUATA</t>
  </si>
  <si>
    <t>HUATA / LP</t>
  </si>
  <si>
    <t>KASANI/I.SOL/I.LUNA/KASANI</t>
  </si>
  <si>
    <t>DESAGUADERO/LP</t>
  </si>
  <si>
    <t>LP-TIWANAKU-HUATA/HUATA OV</t>
  </si>
  <si>
    <t>HUATA/IRUITOS/HUATA</t>
  </si>
  <si>
    <t>HUATA/I.LUNA/I.SOL</t>
  </si>
  <si>
    <t>LP/TIWANAKU/I.SOL</t>
  </si>
  <si>
    <t>HUATA / LUNA / SOL / KASANI</t>
  </si>
  <si>
    <t>HUATA/COCO/I.LUNA/I.SOL</t>
  </si>
  <si>
    <t>KASANI/I.SOL/I.LUNA</t>
  </si>
  <si>
    <t>TRF IN (TERMINAL DE BUSES LP)</t>
  </si>
  <si>
    <t>KASANI/COPA/LP</t>
  </si>
  <si>
    <t>KASANI/COPA/HUATA OV</t>
  </si>
  <si>
    <t>KASANI/COPA/I.LUNA/I.SOL</t>
  </si>
  <si>
    <t>CENA (LA SUIISE)</t>
  </si>
  <si>
    <t>COCO/HUATA OV</t>
  </si>
  <si>
    <t>I.SOL/HUATA OV</t>
  </si>
  <si>
    <t>MUSEF + GALERIA MAMANI</t>
  </si>
  <si>
    <t>LP/COPA/ISLAS/COPA/KASANI</t>
  </si>
  <si>
    <t>HD TELEFERICOS</t>
  </si>
  <si>
    <t>VALLE DE LAS ANIMAS</t>
  </si>
  <si>
    <t>LP/COCO/I.LUNA/I.SOL SOL OV</t>
  </si>
  <si>
    <t>I.SOL/COPA/LP</t>
  </si>
  <si>
    <t>LP - COPA - I.SOL / OV SOL</t>
  </si>
  <si>
    <t>ALMUERZO MANQA SUR</t>
  </si>
  <si>
    <t>I. SOL OV</t>
  </si>
  <si>
    <t>HD CITY EL ALTO+ CHOLETS+TELEFERICO</t>
  </si>
  <si>
    <t>CHOLITAS WRESTLING</t>
  </si>
  <si>
    <t>INSPECCION HOTELES</t>
  </si>
  <si>
    <t>ASISTENCIA MEDICA</t>
  </si>
  <si>
    <t>ASISTENCIA AEROPUERTO</t>
  </si>
  <si>
    <t>VISITA MUSEOS</t>
  </si>
  <si>
    <t>HUATA/IRUITOS/PARITI/ HUATA OV</t>
  </si>
  <si>
    <t>COCO/HUATA/LP</t>
  </si>
  <si>
    <t>HD MUSEOS</t>
  </si>
  <si>
    <t>HUATA/COCO</t>
  </si>
  <si>
    <t>LP/COCO/I.LUNA/I.SOL /COPA/KASANI</t>
  </si>
  <si>
    <t>HUATA-COPA/SOL/LUNA/COCO-LP</t>
  </si>
  <si>
    <t>KASANI/ COPA/SOL/LUNA/COPA</t>
  </si>
  <si>
    <t>SOL/ HUATA OV</t>
  </si>
  <si>
    <t>TRASLADO A RESTAURANT</t>
  </si>
  <si>
    <t>BUS LA PAZ/ HUATA/COCO</t>
  </si>
  <si>
    <t>BUS COCO/HUATA/ LA PAZ</t>
  </si>
  <si>
    <t>BUS COCO/ HUATA</t>
  </si>
  <si>
    <t>SOL/LUNA/COCO</t>
  </si>
  <si>
    <t>BUS HUATA/LA PAZ</t>
  </si>
  <si>
    <t>KASANI/COPA</t>
  </si>
  <si>
    <t>COPA/I. SOL/LUNA/COCO</t>
  </si>
  <si>
    <t>BUS LA PAZ/HUATA/COPA</t>
  </si>
  <si>
    <t>BUS COPA/HUATA</t>
  </si>
  <si>
    <t>BUS A DISPOSICION</t>
  </si>
  <si>
    <t>BUS LA PAZ/DESAGUADERO</t>
  </si>
  <si>
    <t>BUS COPA/LA PAZ</t>
  </si>
  <si>
    <t>BUS COPA/HUATA/LP</t>
  </si>
  <si>
    <t>BUS HUATA/APTO</t>
  </si>
  <si>
    <t>APTO/HUATA OV.</t>
  </si>
  <si>
    <t>VALLE/TELEFERICO</t>
  </si>
  <si>
    <t>FD CITY</t>
  </si>
  <si>
    <t>TIWANAKU/COPA</t>
  </si>
  <si>
    <t>COPA/I. SOL/LUNA/KASANI</t>
  </si>
  <si>
    <t>OV. SOL/COPA</t>
  </si>
  <si>
    <t>COPA/KASANI</t>
  </si>
  <si>
    <t>FD CITY/VALLE</t>
  </si>
  <si>
    <t xml:space="preserve">SOL/LUNA/COCO/HUATA OV. </t>
  </si>
  <si>
    <t>TOUR DE COMPRAS</t>
  </si>
  <si>
    <t>BUS LA PAZ/HUATA OV</t>
  </si>
  <si>
    <t>HUATA/COPA/SOL OV</t>
  </si>
  <si>
    <t>SOL/LUNA/COCO/LP</t>
  </si>
  <si>
    <t>HUATA/SOL OV.</t>
  </si>
  <si>
    <t>SOL/ LP</t>
  </si>
  <si>
    <t>BUS LP/ COPA/KASANI</t>
  </si>
  <si>
    <t>CITY+MUSEOS</t>
  </si>
  <si>
    <t>LA PAZ/COCO/LUNA/SOL OV</t>
  </si>
  <si>
    <t>LA PAZ/TIWA FD+PUMAPUNKU</t>
  </si>
  <si>
    <t>BUS TIWA/HUATA OV</t>
  </si>
  <si>
    <t>HUATA/COCO/COPA/SOL/LUNA/COCO</t>
  </si>
  <si>
    <t>KASANI/COPA/SOL/LUNA/COCO</t>
  </si>
  <si>
    <t>KASANI/COPA/SOL/LUNA/HUATA OV</t>
  </si>
  <si>
    <t xml:space="preserve">LUNCH </t>
  </si>
  <si>
    <t>VALLE DE LA LUNA</t>
  </si>
  <si>
    <t>FD LAGO+ HUATA OV</t>
  </si>
  <si>
    <t>SOL/COPA/KASANI</t>
  </si>
  <si>
    <t>KASANI/COPA/SOL/LUNA/COCO/HUATA</t>
  </si>
  <si>
    <t>HUATA/TIWA/LA PAZ</t>
  </si>
  <si>
    <t>HD CITY</t>
  </si>
  <si>
    <t>KASANI/COPA/SOL/LUNA/COCO/HUATA OV</t>
  </si>
  <si>
    <t>BUS ORURO/LA PAZ</t>
  </si>
  <si>
    <t>FD LAGO+ POSADA OV</t>
  </si>
  <si>
    <t>LA PAZ/COCO/COPA/SOL/LUNA/COCO</t>
  </si>
  <si>
    <t>KASANI/COPA/SOL/LUNA/COCO/LA PAZ</t>
  </si>
  <si>
    <t>FD LAGO LA PAZ/KASANI</t>
  </si>
  <si>
    <t>APTO/TIWA/HUATA OV.</t>
  </si>
  <si>
    <t>HUATA/COCO/LUNA/SOL/COPA</t>
  </si>
  <si>
    <t>HUATA/ ISLAS/ COPA OV</t>
  </si>
  <si>
    <t>HD CITY EL ALTO+ CHOLETS</t>
  </si>
  <si>
    <t>KASANI/COPA/SOL/LUNA/COPA/HUATA OV.</t>
  </si>
  <si>
    <t>FD LAGO/KASANI</t>
  </si>
  <si>
    <t>KASANI/FD LAGO/COPA/LA PAZ</t>
  </si>
  <si>
    <t>HUATA/ISLAS/COPA/KASANI</t>
  </si>
  <si>
    <t>KASANI/COPA/SOL/LUNA/COPA/LA PAZ</t>
  </si>
  <si>
    <t xml:space="preserve">LA PAZ/TIWA/HUATA OV. </t>
  </si>
  <si>
    <t>HUATA/COPA/SOL/LUNA/COCO/HUATA OV.</t>
  </si>
  <si>
    <t>LA PAZ/HUATA/COPA/SOL OV</t>
  </si>
  <si>
    <t>SOL/LUNA/HUATA/LA PAZ</t>
  </si>
  <si>
    <t>ALMUERZO</t>
  </si>
  <si>
    <t>BUS LA PAZ/HUATA/LA PAZ</t>
  </si>
  <si>
    <t>BUS HUATA/COCO</t>
  </si>
  <si>
    <t>LA PAZ/COPA/SOL OV</t>
  </si>
  <si>
    <t>KASANI/FD LAGO/COCO/LA PAZ</t>
  </si>
  <si>
    <t>BUS LA PAZ/ KASANI/ COPA</t>
  </si>
  <si>
    <t>KASANI/HUATA OV</t>
  </si>
  <si>
    <t>HUATA/COCO/LUNA/SOL/COPA/KASANI</t>
  </si>
  <si>
    <t>KASANI/COPA/SOL/LUNA/COPA/KASANI</t>
  </si>
  <si>
    <t>SOL/LUNA/COPA/LA PAZ</t>
  </si>
  <si>
    <t>TRF OUT (TERMINAL DE BUSES LP)</t>
  </si>
  <si>
    <t>SOL/LUNA/COCO/HUATA/LA PAZ</t>
  </si>
  <si>
    <t xml:space="preserve">HD YUNGAS </t>
  </si>
  <si>
    <t>COPA/SOL OV.</t>
  </si>
  <si>
    <t>HUATA/ISLAS/LA PAZ</t>
  </si>
  <si>
    <t xml:space="preserve">KASANI/COPA/LUNA/SOL OV. </t>
  </si>
  <si>
    <t>BUS HUATA/ COPA</t>
  </si>
  <si>
    <t>BUS HUATA/ LP</t>
  </si>
  <si>
    <t>URUS IRUITOS</t>
  </si>
  <si>
    <t>LA PAZ/ KASANI</t>
  </si>
  <si>
    <t>LP/FD LAGO/LP</t>
  </si>
  <si>
    <t>APTO/FD LAGO/LP</t>
  </si>
  <si>
    <t>ALMUERZO UMAKOLLO</t>
  </si>
  <si>
    <t>BUS COPA/LP</t>
  </si>
  <si>
    <t>LP/ISLAS/KASANI</t>
  </si>
  <si>
    <t>BUS TIWA/COPA</t>
  </si>
  <si>
    <t>YUNGAS</t>
  </si>
  <si>
    <t>BUS COROICO/LP</t>
  </si>
  <si>
    <t>VISITA OFICINA</t>
  </si>
  <si>
    <t>LA PAZ / COROICO OV.</t>
  </si>
  <si>
    <t>LIBRE COROICO</t>
  </si>
  <si>
    <t>BUS COCO/HUATA/LP</t>
  </si>
  <si>
    <t>MILLUNI "MINERO POR UN DIA"</t>
  </si>
  <si>
    <t>HUATA/COPA/KASANI</t>
  </si>
  <si>
    <t>TOUR GASTRONOMICO</t>
  </si>
  <si>
    <t>KASANI/COPA/I.SOL/LP</t>
  </si>
  <si>
    <t>BUS KASANI/ COPA/ LP</t>
  </si>
  <si>
    <t>KASANI/SOL OV</t>
  </si>
  <si>
    <t>TRF IN APTO/HUATA OV</t>
  </si>
  <si>
    <t>KASANI/ISLAS/HUATA OV</t>
  </si>
  <si>
    <t>HD CHUSPIPATA</t>
  </si>
  <si>
    <t>FD COROICO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</si>
</sst>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242424"/>
      <name val="Aptos Narrow"/>
      <family val="2"/>
    </font>
    <font>
      <b/>
      <sz val="11"/>
      <color rgb="FF242424"/>
      <name val="Calibri"/>
      <family val="2"/>
    </font>
    <font>
      <b/>
      <sz val="11"/>
      <color rgb="FF242424"/>
      <name val="Aptos Narrow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readingOrder="1"/>
    </xf>
    <xf numFmtId="164" fontId="0" fillId="0" borderId="0" xfId="0" applyNumberFormat="1"/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horizontal="right" vertical="top"/>
    </xf>
    <xf numFmtId="0" fontId="1" fillId="0" borderId="15" xfId="0" applyFont="1" applyBorder="1" applyAlignment="1">
      <alignment vertical="top" readingOrder="1"/>
    </xf>
    <xf numFmtId="0" fontId="0" fillId="0" borderId="17" xfId="0" applyBorder="1" applyAlignment="1">
      <alignment vertical="top"/>
    </xf>
    <xf numFmtId="0" fontId="0" fillId="0" borderId="18" xfId="0" applyBorder="1" applyAlignment="1">
      <alignment horizontal="right" vertical="top"/>
    </xf>
    <xf numFmtId="0" fontId="0" fillId="0" borderId="18" xfId="0" applyBorder="1" applyAlignment="1">
      <alignment vertical="top"/>
    </xf>
    <xf numFmtId="0" fontId="0" fillId="0" borderId="18" xfId="0" applyBorder="1" applyAlignment="1">
      <alignment vertical="top" wrapText="1"/>
    </xf>
    <xf numFmtId="0" fontId="0" fillId="0" borderId="19" xfId="0" applyBorder="1" applyAlignment="1">
      <alignment vertical="top"/>
    </xf>
    <xf numFmtId="0" fontId="5" fillId="0" borderId="0" xfId="0" applyFont="1"/>
    <xf numFmtId="0" fontId="1" fillId="0" borderId="13" xfId="0" applyFont="1" applyBorder="1" applyAlignment="1">
      <alignment horizontal="left" vertical="top" readingOrder="1"/>
    </xf>
    <xf numFmtId="0" fontId="3" fillId="0" borderId="13" xfId="0" applyFont="1" applyBorder="1" applyAlignment="1">
      <alignment vertical="top"/>
    </xf>
    <xf numFmtId="0" fontId="3" fillId="0" borderId="0" xfId="0" applyFont="1" applyAlignment="1">
      <alignment wrapText="1"/>
    </xf>
    <xf numFmtId="0" fontId="3" fillId="0" borderId="28" xfId="0" applyFont="1" applyBorder="1" applyAlignment="1">
      <alignment horizontal="center" vertical="top" wrapText="1"/>
    </xf>
    <xf numFmtId="0" fontId="3" fillId="0" borderId="0" xfId="0" applyFont="1" applyAlignment="1">
      <alignment horizontal="right" vertical="top"/>
    </xf>
    <xf numFmtId="0" fontId="3" fillId="0" borderId="15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3" fillId="0" borderId="29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0" fontId="3" fillId="0" borderId="18" xfId="0" applyFont="1" applyBorder="1" applyAlignment="1">
      <alignment horizontal="right" vertical="top"/>
    </xf>
    <xf numFmtId="0" fontId="3" fillId="0" borderId="0" xfId="0" applyFont="1" applyAlignment="1">
      <alignment horizontal="center" vertical="top" wrapText="1"/>
    </xf>
    <xf numFmtId="0" fontId="7" fillId="0" borderId="0" xfId="0" applyFont="1"/>
    <xf numFmtId="0" fontId="9" fillId="0" borderId="0" xfId="0" applyFont="1" applyAlignment="1">
      <alignment vertical="top"/>
    </xf>
    <xf numFmtId="0" fontId="11" fillId="0" borderId="10" xfId="0" applyFont="1" applyBorder="1" applyAlignment="1">
      <alignment horizontal="left" vertical="top" readingOrder="1"/>
    </xf>
    <xf numFmtId="0" fontId="11" fillId="0" borderId="4" xfId="0" applyFont="1" applyBorder="1" applyAlignment="1">
      <alignment horizontal="center" vertical="top" wrapText="1" readingOrder="1"/>
    </xf>
    <xf numFmtId="0" fontId="11" fillId="0" borderId="5" xfId="0" applyFont="1" applyBorder="1" applyAlignment="1">
      <alignment horizontal="center" vertical="top" wrapText="1" readingOrder="1"/>
    </xf>
    <xf numFmtId="0" fontId="11" fillId="0" borderId="9" xfId="0" applyFont="1" applyBorder="1" applyAlignment="1">
      <alignment horizontal="left" vertical="top" wrapText="1" readingOrder="1"/>
    </xf>
    <xf numFmtId="0" fontId="12" fillId="0" borderId="1" xfId="0" applyFont="1" applyBorder="1" applyAlignment="1">
      <alignment vertical="top"/>
    </xf>
    <xf numFmtId="0" fontId="12" fillId="0" borderId="1" xfId="0" applyFont="1" applyBorder="1" applyAlignment="1">
      <alignment vertical="top" wrapText="1"/>
    </xf>
    <xf numFmtId="0" fontId="12" fillId="0" borderId="6" xfId="0" applyFont="1" applyBorder="1" applyAlignment="1">
      <alignment vertical="top"/>
    </xf>
    <xf numFmtId="0" fontId="12" fillId="0" borderId="6" xfId="0" applyFont="1" applyBorder="1" applyAlignment="1">
      <alignment horizontal="left" vertical="top" wrapText="1" readingOrder="1"/>
    </xf>
    <xf numFmtId="0" fontId="11" fillId="0" borderId="9" xfId="0" applyFont="1" applyBorder="1" applyAlignment="1">
      <alignment vertical="top"/>
    </xf>
    <xf numFmtId="0" fontId="11" fillId="0" borderId="11" xfId="0" applyFont="1" applyBorder="1" applyAlignment="1">
      <alignment horizontal="left" vertical="top" wrapText="1" readingOrder="1"/>
    </xf>
    <xf numFmtId="0" fontId="12" fillId="0" borderId="7" xfId="0" applyFont="1" applyBorder="1" applyAlignment="1">
      <alignment vertical="top" wrapText="1"/>
    </xf>
    <xf numFmtId="0" fontId="12" fillId="0" borderId="7" xfId="0" applyFont="1" applyBorder="1" applyAlignment="1">
      <alignment vertical="top"/>
    </xf>
    <xf numFmtId="0" fontId="12" fillId="0" borderId="8" xfId="0" applyFont="1" applyBorder="1" applyAlignment="1">
      <alignment vertical="top"/>
    </xf>
    <xf numFmtId="0" fontId="13" fillId="0" borderId="28" xfId="0" applyFont="1" applyBorder="1" applyAlignment="1">
      <alignment horizontal="left" vertical="top" readingOrder="1"/>
    </xf>
    <xf numFmtId="0" fontId="13" fillId="0" borderId="30" xfId="0" applyFont="1" applyBorder="1" applyAlignment="1">
      <alignment horizontal="right" vertical="top" readingOrder="1"/>
    </xf>
    <xf numFmtId="0" fontId="13" fillId="0" borderId="30" xfId="0" applyFont="1" applyBorder="1" applyAlignment="1">
      <alignment horizontal="left" vertical="top" readingOrder="1"/>
    </xf>
    <xf numFmtId="0" fontId="11" fillId="0" borderId="32" xfId="0" applyFont="1" applyBorder="1" applyAlignment="1">
      <alignment horizontal="left" vertical="top" readingOrder="1"/>
    </xf>
    <xf numFmtId="0" fontId="11" fillId="0" borderId="29" xfId="0" applyFont="1" applyBorder="1" applyAlignment="1">
      <alignment horizontal="left" vertical="top" readingOrder="1"/>
    </xf>
    <xf numFmtId="0" fontId="11" fillId="0" borderId="29" xfId="0" applyFont="1" applyBorder="1" applyAlignment="1">
      <alignment horizontal="left" vertical="top" wrapText="1" readingOrder="1"/>
    </xf>
    <xf numFmtId="0" fontId="11" fillId="0" borderId="27" xfId="0" applyFont="1" applyBorder="1" applyAlignment="1">
      <alignment horizontal="left" vertical="top" readingOrder="1"/>
    </xf>
    <xf numFmtId="14" fontId="11" fillId="0" borderId="27" xfId="0" applyNumberFormat="1" applyFont="1" applyBorder="1" applyAlignment="1">
      <alignment vertical="top"/>
    </xf>
    <xf numFmtId="20" fontId="11" fillId="0" borderId="29" xfId="0" applyNumberFormat="1" applyFont="1" applyBorder="1" applyAlignment="1">
      <alignment vertical="top"/>
    </xf>
    <xf numFmtId="0" fontId="11" fillId="0" borderId="27" xfId="0" applyFont="1" applyBorder="1" applyAlignment="1">
      <alignment horizontal="center" vertical="center" wrapText="1" readingOrder="1"/>
    </xf>
    <xf numFmtId="14" fontId="11" fillId="0" borderId="13" xfId="0" applyNumberFormat="1" applyFont="1" applyBorder="1" applyAlignment="1">
      <alignment vertical="top"/>
    </xf>
    <xf numFmtId="20" fontId="11" fillId="0" borderId="0" xfId="0" applyNumberFormat="1" applyFont="1" applyAlignment="1">
      <alignment horizontal="right" vertical="top"/>
    </xf>
    <xf numFmtId="0" fontId="11" fillId="0" borderId="0" xfId="0" applyFont="1" applyAlignment="1">
      <alignment horizontal="left" vertical="top" wrapText="1" readingOrder="1"/>
    </xf>
    <xf numFmtId="0" fontId="11" fillId="0" borderId="13" xfId="0" applyFont="1" applyBorder="1" applyAlignment="1">
      <alignment horizontal="center" vertical="center" wrapText="1" readingOrder="1"/>
    </xf>
    <xf numFmtId="14" fontId="11" fillId="0" borderId="20" xfId="0" applyNumberFormat="1" applyFont="1" applyBorder="1" applyAlignment="1">
      <alignment vertical="top"/>
    </xf>
    <xf numFmtId="20" fontId="11" fillId="0" borderId="18" xfId="0" applyNumberFormat="1" applyFont="1" applyBorder="1" applyAlignment="1">
      <alignment horizontal="right" vertical="top"/>
    </xf>
    <xf numFmtId="0" fontId="11" fillId="0" borderId="18" xfId="0" applyFont="1" applyBorder="1" applyAlignment="1">
      <alignment horizontal="left" vertical="top" wrapText="1" readingOrder="1"/>
    </xf>
    <xf numFmtId="0" fontId="11" fillId="0" borderId="20" xfId="0" applyFont="1" applyBorder="1" applyAlignment="1">
      <alignment horizontal="left" vertical="top" readingOrder="1"/>
    </xf>
    <xf numFmtId="0" fontId="11" fillId="0" borderId="20" xfId="0" applyFont="1" applyBorder="1" applyAlignment="1">
      <alignment horizontal="center" vertical="center" wrapText="1" readingOrder="1"/>
    </xf>
    <xf numFmtId="0" fontId="11" fillId="0" borderId="15" xfId="0" applyFont="1" applyBorder="1" applyAlignment="1">
      <alignment vertical="top" readingOrder="1"/>
    </xf>
    <xf numFmtId="0" fontId="12" fillId="0" borderId="0" xfId="0" applyFont="1" applyAlignment="1">
      <alignment horizontal="right" vertical="top" readingOrder="1"/>
    </xf>
    <xf numFmtId="0" fontId="11" fillId="0" borderId="0" xfId="0" applyFont="1" applyAlignment="1">
      <alignment vertical="top" readingOrder="1"/>
    </xf>
    <xf numFmtId="0" fontId="12" fillId="0" borderId="0" xfId="0" applyFont="1" applyAlignment="1">
      <alignment vertical="top" readingOrder="1"/>
    </xf>
    <xf numFmtId="0" fontId="12" fillId="0" borderId="0" xfId="0" applyFont="1" applyAlignment="1">
      <alignment vertical="top" wrapText="1" readingOrder="1"/>
    </xf>
    <xf numFmtId="0" fontId="11" fillId="0" borderId="16" xfId="0" applyFont="1" applyBorder="1" applyAlignment="1">
      <alignment horizontal="center" vertical="center" wrapText="1" readingOrder="1"/>
    </xf>
    <xf numFmtId="0" fontId="11" fillId="0" borderId="15" xfId="0" applyFont="1" applyBorder="1" applyAlignment="1">
      <alignment horizontal="left" vertical="top" readingOrder="1"/>
    </xf>
    <xf numFmtId="0" fontId="0" fillId="0" borderId="18" xfId="0" applyBorder="1" applyAlignment="1">
      <alignment horizontal="center" vertical="top"/>
    </xf>
    <xf numFmtId="0" fontId="12" fillId="0" borderId="0" xfId="0" applyFont="1" applyAlignment="1">
      <alignment horizontal="left" vertical="top" readingOrder="1"/>
    </xf>
    <xf numFmtId="0" fontId="14" fillId="2" borderId="0" xfId="0" applyFont="1" applyFill="1" applyAlignment="1">
      <alignment horizontal="left" vertical="top" wrapText="1"/>
    </xf>
    <xf numFmtId="0" fontId="14" fillId="2" borderId="16" xfId="0" applyFont="1" applyFill="1" applyBorder="1" applyAlignment="1">
      <alignment horizontal="left" vertical="top" wrapText="1"/>
    </xf>
    <xf numFmtId="0" fontId="15" fillId="2" borderId="0" xfId="0" applyFont="1" applyFill="1" applyAlignment="1">
      <alignment horizontal="left" vertical="top" readingOrder="1"/>
    </xf>
    <xf numFmtId="0" fontId="15" fillId="2" borderId="16" xfId="0" applyFont="1" applyFill="1" applyBorder="1" applyAlignment="1">
      <alignment horizontal="left" vertical="top" readingOrder="1"/>
    </xf>
    <xf numFmtId="0" fontId="11" fillId="0" borderId="23" xfId="0" applyFont="1" applyBorder="1" applyAlignment="1">
      <alignment horizontal="center" vertical="top" wrapText="1"/>
    </xf>
    <xf numFmtId="0" fontId="11" fillId="0" borderId="24" xfId="0" applyFont="1" applyBorder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readingOrder="1"/>
    </xf>
    <xf numFmtId="0" fontId="12" fillId="0" borderId="16" xfId="0" applyFont="1" applyBorder="1" applyAlignment="1">
      <alignment horizontal="left" vertical="top" readingOrder="1"/>
    </xf>
    <xf numFmtId="0" fontId="14" fillId="2" borderId="0" xfId="0" applyFont="1" applyFill="1" applyAlignment="1">
      <alignment horizontal="left" wrapText="1"/>
    </xf>
    <xf numFmtId="0" fontId="14" fillId="2" borderId="16" xfId="0" applyFont="1" applyFill="1" applyBorder="1" applyAlignment="1">
      <alignment horizontal="left" wrapText="1"/>
    </xf>
    <xf numFmtId="0" fontId="10" fillId="0" borderId="2" xfId="0" applyFont="1" applyBorder="1" applyAlignment="1">
      <alignment horizontal="center" vertical="top" wrapText="1" readingOrder="1"/>
    </xf>
    <xf numFmtId="0" fontId="3" fillId="0" borderId="3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7" fillId="0" borderId="25" xfId="0" applyFont="1" applyBorder="1" applyAlignment="1">
      <alignment horizontal="center" vertical="top"/>
    </xf>
    <xf numFmtId="0" fontId="7" fillId="0" borderId="26" xfId="0" applyFont="1" applyBorder="1" applyAlignment="1">
      <alignment horizontal="center" vertical="top"/>
    </xf>
    <xf numFmtId="0" fontId="7" fillId="0" borderId="31" xfId="0" applyFont="1" applyBorder="1" applyAlignment="1">
      <alignment horizontal="center" vertical="top"/>
    </xf>
    <xf numFmtId="0" fontId="7" fillId="0" borderId="14" xfId="0" applyFont="1" applyBorder="1" applyAlignment="1">
      <alignment horizontal="center" vertical="top"/>
    </xf>
    <xf numFmtId="0" fontId="6" fillId="0" borderId="21" xfId="0" applyFont="1" applyBorder="1" applyAlignment="1">
      <alignment horizontal="center" vertical="top"/>
    </xf>
    <xf numFmtId="0" fontId="6" fillId="0" borderId="2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OPERACIONES%202023\ODS%202024\09%20SEPTIEMBRE%202024\ORDENES%2006%20ABR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uel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2:L29"/>
  <sheetViews>
    <sheetView tabSelected="1" zoomScale="70" zoomScaleNormal="70" workbookViewId="0">
      <selection activeCell="L17" sqref="L17"/>
    </sheetView>
  </sheetViews>
  <sheetFormatPr baseColWidth="10" defaultColWidth="11.42578125" defaultRowHeight="15" x14ac:dyDescent="0.25"/>
  <cols>
    <col min="1" max="1" width="13" style="28" customWidth="1"/>
    <col min="2" max="2" width="12.140625" style="1" customWidth="1"/>
    <col min="3" max="3" width="9.140625" style="8" customWidth="1"/>
    <col min="4" max="4" width="35" style="1" customWidth="1"/>
    <col min="5" max="5" width="12.42578125" style="1" customWidth="1"/>
    <col min="6" max="7" width="10.7109375" style="1" customWidth="1"/>
    <col min="8" max="8" width="10.7109375" style="2" customWidth="1"/>
    <col min="9" max="9" width="50.85546875" style="1" customWidth="1"/>
    <col min="10" max="10" width="10.5703125" style="1" customWidth="1"/>
    <col min="11" max="11" width="9.85546875" style="1" customWidth="1"/>
    <col min="12" max="12" width="10.140625" style="1" bestFit="1" customWidth="1"/>
    <col min="13" max="213" width="9.140625" style="1"/>
    <col min="214" max="214" width="11" style="1" customWidth="1"/>
    <col min="215" max="215" width="7.42578125" style="1" customWidth="1"/>
    <col min="216" max="216" width="25.7109375" style="1" customWidth="1"/>
    <col min="217" max="217" width="9" style="1" customWidth="1"/>
    <col min="218" max="218" width="11.140625" style="1" customWidth="1"/>
    <col min="219" max="219" width="4.85546875" style="1" customWidth="1"/>
    <col min="220" max="220" width="12.85546875" style="1" customWidth="1"/>
    <col min="221" max="221" width="17.85546875" style="1" customWidth="1"/>
    <col min="222" max="469" width="9.140625" style="1"/>
    <col min="470" max="470" width="11" style="1" customWidth="1"/>
    <col min="471" max="471" width="7.42578125" style="1" customWidth="1"/>
    <col min="472" max="472" width="25.7109375" style="1" customWidth="1"/>
    <col min="473" max="473" width="9" style="1" customWidth="1"/>
    <col min="474" max="474" width="11.140625" style="1" customWidth="1"/>
    <col min="475" max="475" width="4.85546875" style="1" customWidth="1"/>
    <col min="476" max="476" width="12.85546875" style="1" customWidth="1"/>
    <col min="477" max="477" width="17.85546875" style="1" customWidth="1"/>
    <col min="478" max="725" width="9.140625" style="1"/>
    <col min="726" max="726" width="11" style="1" customWidth="1"/>
    <col min="727" max="727" width="7.42578125" style="1" customWidth="1"/>
    <col min="728" max="728" width="25.7109375" style="1" customWidth="1"/>
    <col min="729" max="729" width="9" style="1" customWidth="1"/>
    <col min="730" max="730" width="11.140625" style="1" customWidth="1"/>
    <col min="731" max="731" width="4.85546875" style="1" customWidth="1"/>
    <col min="732" max="732" width="12.85546875" style="1" customWidth="1"/>
    <col min="733" max="733" width="17.85546875" style="1" customWidth="1"/>
    <col min="734" max="981" width="9.140625" style="1"/>
    <col min="982" max="982" width="11" style="1" customWidth="1"/>
    <col min="983" max="983" width="7.42578125" style="1" customWidth="1"/>
    <col min="984" max="984" width="25.7109375" style="1" customWidth="1"/>
    <col min="985" max="985" width="9" style="1" customWidth="1"/>
    <col min="986" max="986" width="11.140625" style="1" customWidth="1"/>
    <col min="987" max="987" width="4.85546875" style="1" customWidth="1"/>
    <col min="988" max="988" width="12.85546875" style="1" customWidth="1"/>
    <col min="989" max="989" width="17.85546875" style="1" customWidth="1"/>
    <col min="990" max="1237" width="9.140625" style="1"/>
    <col min="1238" max="1238" width="11" style="1" customWidth="1"/>
    <col min="1239" max="1239" width="7.42578125" style="1" customWidth="1"/>
    <col min="1240" max="1240" width="25.7109375" style="1" customWidth="1"/>
    <col min="1241" max="1241" width="9" style="1" customWidth="1"/>
    <col min="1242" max="1242" width="11.140625" style="1" customWidth="1"/>
    <col min="1243" max="1243" width="4.85546875" style="1" customWidth="1"/>
    <col min="1244" max="1244" width="12.85546875" style="1" customWidth="1"/>
    <col min="1245" max="1245" width="17.85546875" style="1" customWidth="1"/>
    <col min="1246" max="1493" width="9.140625" style="1"/>
    <col min="1494" max="1494" width="11" style="1" customWidth="1"/>
    <col min="1495" max="1495" width="7.42578125" style="1" customWidth="1"/>
    <col min="1496" max="1496" width="25.7109375" style="1" customWidth="1"/>
    <col min="1497" max="1497" width="9" style="1" customWidth="1"/>
    <col min="1498" max="1498" width="11.140625" style="1" customWidth="1"/>
    <col min="1499" max="1499" width="4.85546875" style="1" customWidth="1"/>
    <col min="1500" max="1500" width="12.85546875" style="1" customWidth="1"/>
    <col min="1501" max="1501" width="17.85546875" style="1" customWidth="1"/>
    <col min="1502" max="1749" width="9.140625" style="1"/>
    <col min="1750" max="1750" width="11" style="1" customWidth="1"/>
    <col min="1751" max="1751" width="7.42578125" style="1" customWidth="1"/>
    <col min="1752" max="1752" width="25.7109375" style="1" customWidth="1"/>
    <col min="1753" max="1753" width="9" style="1" customWidth="1"/>
    <col min="1754" max="1754" width="11.140625" style="1" customWidth="1"/>
    <col min="1755" max="1755" width="4.85546875" style="1" customWidth="1"/>
    <col min="1756" max="1756" width="12.85546875" style="1" customWidth="1"/>
    <col min="1757" max="1757" width="17.85546875" style="1" customWidth="1"/>
    <col min="1758" max="2005" width="9.140625" style="1"/>
    <col min="2006" max="2006" width="11" style="1" customWidth="1"/>
    <col min="2007" max="2007" width="7.42578125" style="1" customWidth="1"/>
    <col min="2008" max="2008" width="25.7109375" style="1" customWidth="1"/>
    <col min="2009" max="2009" width="9" style="1" customWidth="1"/>
    <col min="2010" max="2010" width="11.140625" style="1" customWidth="1"/>
    <col min="2011" max="2011" width="4.85546875" style="1" customWidth="1"/>
    <col min="2012" max="2012" width="12.85546875" style="1" customWidth="1"/>
    <col min="2013" max="2013" width="17.85546875" style="1" customWidth="1"/>
    <col min="2014" max="2261" width="9.140625" style="1"/>
    <col min="2262" max="2262" width="11" style="1" customWidth="1"/>
    <col min="2263" max="2263" width="7.42578125" style="1" customWidth="1"/>
    <col min="2264" max="2264" width="25.7109375" style="1" customWidth="1"/>
    <col min="2265" max="2265" width="9" style="1" customWidth="1"/>
    <col min="2266" max="2266" width="11.140625" style="1" customWidth="1"/>
    <col min="2267" max="2267" width="4.85546875" style="1" customWidth="1"/>
    <col min="2268" max="2268" width="12.85546875" style="1" customWidth="1"/>
    <col min="2269" max="2269" width="17.85546875" style="1" customWidth="1"/>
    <col min="2270" max="2517" width="9.140625" style="1"/>
    <col min="2518" max="2518" width="11" style="1" customWidth="1"/>
    <col min="2519" max="2519" width="7.42578125" style="1" customWidth="1"/>
    <col min="2520" max="2520" width="25.7109375" style="1" customWidth="1"/>
    <col min="2521" max="2521" width="9" style="1" customWidth="1"/>
    <col min="2522" max="2522" width="11.140625" style="1" customWidth="1"/>
    <col min="2523" max="2523" width="4.85546875" style="1" customWidth="1"/>
    <col min="2524" max="2524" width="12.85546875" style="1" customWidth="1"/>
    <col min="2525" max="2525" width="17.85546875" style="1" customWidth="1"/>
    <col min="2526" max="2773" width="9.140625" style="1"/>
    <col min="2774" max="2774" width="11" style="1" customWidth="1"/>
    <col min="2775" max="2775" width="7.42578125" style="1" customWidth="1"/>
    <col min="2776" max="2776" width="25.7109375" style="1" customWidth="1"/>
    <col min="2777" max="2777" width="9" style="1" customWidth="1"/>
    <col min="2778" max="2778" width="11.140625" style="1" customWidth="1"/>
    <col min="2779" max="2779" width="4.85546875" style="1" customWidth="1"/>
    <col min="2780" max="2780" width="12.85546875" style="1" customWidth="1"/>
    <col min="2781" max="2781" width="17.85546875" style="1" customWidth="1"/>
    <col min="2782" max="3029" width="9.140625" style="1"/>
    <col min="3030" max="3030" width="11" style="1" customWidth="1"/>
    <col min="3031" max="3031" width="7.42578125" style="1" customWidth="1"/>
    <col min="3032" max="3032" width="25.7109375" style="1" customWidth="1"/>
    <col min="3033" max="3033" width="9" style="1" customWidth="1"/>
    <col min="3034" max="3034" width="11.140625" style="1" customWidth="1"/>
    <col min="3035" max="3035" width="4.85546875" style="1" customWidth="1"/>
    <col min="3036" max="3036" width="12.85546875" style="1" customWidth="1"/>
    <col min="3037" max="3037" width="17.85546875" style="1" customWidth="1"/>
    <col min="3038" max="3285" width="9.140625" style="1"/>
    <col min="3286" max="3286" width="11" style="1" customWidth="1"/>
    <col min="3287" max="3287" width="7.42578125" style="1" customWidth="1"/>
    <col min="3288" max="3288" width="25.7109375" style="1" customWidth="1"/>
    <col min="3289" max="3289" width="9" style="1" customWidth="1"/>
    <col min="3290" max="3290" width="11.140625" style="1" customWidth="1"/>
    <col min="3291" max="3291" width="4.85546875" style="1" customWidth="1"/>
    <col min="3292" max="3292" width="12.85546875" style="1" customWidth="1"/>
    <col min="3293" max="3293" width="17.85546875" style="1" customWidth="1"/>
    <col min="3294" max="3541" width="9.140625" style="1"/>
    <col min="3542" max="3542" width="11" style="1" customWidth="1"/>
    <col min="3543" max="3543" width="7.42578125" style="1" customWidth="1"/>
    <col min="3544" max="3544" width="25.7109375" style="1" customWidth="1"/>
    <col min="3545" max="3545" width="9" style="1" customWidth="1"/>
    <col min="3546" max="3546" width="11.140625" style="1" customWidth="1"/>
    <col min="3547" max="3547" width="4.85546875" style="1" customWidth="1"/>
    <col min="3548" max="3548" width="12.85546875" style="1" customWidth="1"/>
    <col min="3549" max="3549" width="17.85546875" style="1" customWidth="1"/>
    <col min="3550" max="3797" width="9.140625" style="1"/>
    <col min="3798" max="3798" width="11" style="1" customWidth="1"/>
    <col min="3799" max="3799" width="7.42578125" style="1" customWidth="1"/>
    <col min="3800" max="3800" width="25.7109375" style="1" customWidth="1"/>
    <col min="3801" max="3801" width="9" style="1" customWidth="1"/>
    <col min="3802" max="3802" width="11.140625" style="1" customWidth="1"/>
    <col min="3803" max="3803" width="4.85546875" style="1" customWidth="1"/>
    <col min="3804" max="3804" width="12.85546875" style="1" customWidth="1"/>
    <col min="3805" max="3805" width="17.85546875" style="1" customWidth="1"/>
    <col min="3806" max="4053" width="9.140625" style="1"/>
    <col min="4054" max="4054" width="11" style="1" customWidth="1"/>
    <col min="4055" max="4055" width="7.42578125" style="1" customWidth="1"/>
    <col min="4056" max="4056" width="25.7109375" style="1" customWidth="1"/>
    <col min="4057" max="4057" width="9" style="1" customWidth="1"/>
    <col min="4058" max="4058" width="11.140625" style="1" customWidth="1"/>
    <col min="4059" max="4059" width="4.85546875" style="1" customWidth="1"/>
    <col min="4060" max="4060" width="12.85546875" style="1" customWidth="1"/>
    <col min="4061" max="4061" width="17.85546875" style="1" customWidth="1"/>
    <col min="4062" max="4309" width="9.140625" style="1"/>
    <col min="4310" max="4310" width="11" style="1" customWidth="1"/>
    <col min="4311" max="4311" width="7.42578125" style="1" customWidth="1"/>
    <col min="4312" max="4312" width="25.7109375" style="1" customWidth="1"/>
    <col min="4313" max="4313" width="9" style="1" customWidth="1"/>
    <col min="4314" max="4314" width="11.140625" style="1" customWidth="1"/>
    <col min="4315" max="4315" width="4.85546875" style="1" customWidth="1"/>
    <col min="4316" max="4316" width="12.85546875" style="1" customWidth="1"/>
    <col min="4317" max="4317" width="17.85546875" style="1" customWidth="1"/>
    <col min="4318" max="4565" width="9.140625" style="1"/>
    <col min="4566" max="4566" width="11" style="1" customWidth="1"/>
    <col min="4567" max="4567" width="7.42578125" style="1" customWidth="1"/>
    <col min="4568" max="4568" width="25.7109375" style="1" customWidth="1"/>
    <col min="4569" max="4569" width="9" style="1" customWidth="1"/>
    <col min="4570" max="4570" width="11.140625" style="1" customWidth="1"/>
    <col min="4571" max="4571" width="4.85546875" style="1" customWidth="1"/>
    <col min="4572" max="4572" width="12.85546875" style="1" customWidth="1"/>
    <col min="4573" max="4573" width="17.85546875" style="1" customWidth="1"/>
    <col min="4574" max="4821" width="9.140625" style="1"/>
    <col min="4822" max="4822" width="11" style="1" customWidth="1"/>
    <col min="4823" max="4823" width="7.42578125" style="1" customWidth="1"/>
    <col min="4824" max="4824" width="25.7109375" style="1" customWidth="1"/>
    <col min="4825" max="4825" width="9" style="1" customWidth="1"/>
    <col min="4826" max="4826" width="11.140625" style="1" customWidth="1"/>
    <col min="4827" max="4827" width="4.85546875" style="1" customWidth="1"/>
    <col min="4828" max="4828" width="12.85546875" style="1" customWidth="1"/>
    <col min="4829" max="4829" width="17.85546875" style="1" customWidth="1"/>
    <col min="4830" max="5077" width="9.140625" style="1"/>
    <col min="5078" max="5078" width="11" style="1" customWidth="1"/>
    <col min="5079" max="5079" width="7.42578125" style="1" customWidth="1"/>
    <col min="5080" max="5080" width="25.7109375" style="1" customWidth="1"/>
    <col min="5081" max="5081" width="9" style="1" customWidth="1"/>
    <col min="5082" max="5082" width="11.140625" style="1" customWidth="1"/>
    <col min="5083" max="5083" width="4.85546875" style="1" customWidth="1"/>
    <col min="5084" max="5084" width="12.85546875" style="1" customWidth="1"/>
    <col min="5085" max="5085" width="17.85546875" style="1" customWidth="1"/>
    <col min="5086" max="5333" width="9.140625" style="1"/>
    <col min="5334" max="5334" width="11" style="1" customWidth="1"/>
    <col min="5335" max="5335" width="7.42578125" style="1" customWidth="1"/>
    <col min="5336" max="5336" width="25.7109375" style="1" customWidth="1"/>
    <col min="5337" max="5337" width="9" style="1" customWidth="1"/>
    <col min="5338" max="5338" width="11.140625" style="1" customWidth="1"/>
    <col min="5339" max="5339" width="4.85546875" style="1" customWidth="1"/>
    <col min="5340" max="5340" width="12.85546875" style="1" customWidth="1"/>
    <col min="5341" max="5341" width="17.85546875" style="1" customWidth="1"/>
    <col min="5342" max="5589" width="9.140625" style="1"/>
    <col min="5590" max="5590" width="11" style="1" customWidth="1"/>
    <col min="5591" max="5591" width="7.42578125" style="1" customWidth="1"/>
    <col min="5592" max="5592" width="25.7109375" style="1" customWidth="1"/>
    <col min="5593" max="5593" width="9" style="1" customWidth="1"/>
    <col min="5594" max="5594" width="11.140625" style="1" customWidth="1"/>
    <col min="5595" max="5595" width="4.85546875" style="1" customWidth="1"/>
    <col min="5596" max="5596" width="12.85546875" style="1" customWidth="1"/>
    <col min="5597" max="5597" width="17.85546875" style="1" customWidth="1"/>
    <col min="5598" max="5845" width="9.140625" style="1"/>
    <col min="5846" max="5846" width="11" style="1" customWidth="1"/>
    <col min="5847" max="5847" width="7.42578125" style="1" customWidth="1"/>
    <col min="5848" max="5848" width="25.7109375" style="1" customWidth="1"/>
    <col min="5849" max="5849" width="9" style="1" customWidth="1"/>
    <col min="5850" max="5850" width="11.140625" style="1" customWidth="1"/>
    <col min="5851" max="5851" width="4.85546875" style="1" customWidth="1"/>
    <col min="5852" max="5852" width="12.85546875" style="1" customWidth="1"/>
    <col min="5853" max="5853" width="17.85546875" style="1" customWidth="1"/>
    <col min="5854" max="6101" width="9.140625" style="1"/>
    <col min="6102" max="6102" width="11" style="1" customWidth="1"/>
    <col min="6103" max="6103" width="7.42578125" style="1" customWidth="1"/>
    <col min="6104" max="6104" width="25.7109375" style="1" customWidth="1"/>
    <col min="6105" max="6105" width="9" style="1" customWidth="1"/>
    <col min="6106" max="6106" width="11.140625" style="1" customWidth="1"/>
    <col min="6107" max="6107" width="4.85546875" style="1" customWidth="1"/>
    <col min="6108" max="6108" width="12.85546875" style="1" customWidth="1"/>
    <col min="6109" max="6109" width="17.85546875" style="1" customWidth="1"/>
    <col min="6110" max="6357" width="9.140625" style="1"/>
    <col min="6358" max="6358" width="11" style="1" customWidth="1"/>
    <col min="6359" max="6359" width="7.42578125" style="1" customWidth="1"/>
    <col min="6360" max="6360" width="25.7109375" style="1" customWidth="1"/>
    <col min="6361" max="6361" width="9" style="1" customWidth="1"/>
    <col min="6362" max="6362" width="11.140625" style="1" customWidth="1"/>
    <col min="6363" max="6363" width="4.85546875" style="1" customWidth="1"/>
    <col min="6364" max="6364" width="12.85546875" style="1" customWidth="1"/>
    <col min="6365" max="6365" width="17.85546875" style="1" customWidth="1"/>
    <col min="6366" max="6613" width="9.140625" style="1"/>
    <col min="6614" max="6614" width="11" style="1" customWidth="1"/>
    <col min="6615" max="6615" width="7.42578125" style="1" customWidth="1"/>
    <col min="6616" max="6616" width="25.7109375" style="1" customWidth="1"/>
    <col min="6617" max="6617" width="9" style="1" customWidth="1"/>
    <col min="6618" max="6618" width="11.140625" style="1" customWidth="1"/>
    <col min="6619" max="6619" width="4.85546875" style="1" customWidth="1"/>
    <col min="6620" max="6620" width="12.85546875" style="1" customWidth="1"/>
    <col min="6621" max="6621" width="17.85546875" style="1" customWidth="1"/>
    <col min="6622" max="6869" width="9.140625" style="1"/>
    <col min="6870" max="6870" width="11" style="1" customWidth="1"/>
    <col min="6871" max="6871" width="7.42578125" style="1" customWidth="1"/>
    <col min="6872" max="6872" width="25.7109375" style="1" customWidth="1"/>
    <col min="6873" max="6873" width="9" style="1" customWidth="1"/>
    <col min="6874" max="6874" width="11.140625" style="1" customWidth="1"/>
    <col min="6875" max="6875" width="4.85546875" style="1" customWidth="1"/>
    <col min="6876" max="6876" width="12.85546875" style="1" customWidth="1"/>
    <col min="6877" max="6877" width="17.85546875" style="1" customWidth="1"/>
    <col min="6878" max="7125" width="9.140625" style="1"/>
    <col min="7126" max="7126" width="11" style="1" customWidth="1"/>
    <col min="7127" max="7127" width="7.42578125" style="1" customWidth="1"/>
    <col min="7128" max="7128" width="25.7109375" style="1" customWidth="1"/>
    <col min="7129" max="7129" width="9" style="1" customWidth="1"/>
    <col min="7130" max="7130" width="11.140625" style="1" customWidth="1"/>
    <col min="7131" max="7131" width="4.85546875" style="1" customWidth="1"/>
    <col min="7132" max="7132" width="12.85546875" style="1" customWidth="1"/>
    <col min="7133" max="7133" width="17.85546875" style="1" customWidth="1"/>
    <col min="7134" max="7381" width="9.140625" style="1"/>
    <col min="7382" max="7382" width="11" style="1" customWidth="1"/>
    <col min="7383" max="7383" width="7.42578125" style="1" customWidth="1"/>
    <col min="7384" max="7384" width="25.7109375" style="1" customWidth="1"/>
    <col min="7385" max="7385" width="9" style="1" customWidth="1"/>
    <col min="7386" max="7386" width="11.140625" style="1" customWidth="1"/>
    <col min="7387" max="7387" width="4.85546875" style="1" customWidth="1"/>
    <col min="7388" max="7388" width="12.85546875" style="1" customWidth="1"/>
    <col min="7389" max="7389" width="17.85546875" style="1" customWidth="1"/>
    <col min="7390" max="7637" width="9.140625" style="1"/>
    <col min="7638" max="7638" width="11" style="1" customWidth="1"/>
    <col min="7639" max="7639" width="7.42578125" style="1" customWidth="1"/>
    <col min="7640" max="7640" width="25.7109375" style="1" customWidth="1"/>
    <col min="7641" max="7641" width="9" style="1" customWidth="1"/>
    <col min="7642" max="7642" width="11.140625" style="1" customWidth="1"/>
    <col min="7643" max="7643" width="4.85546875" style="1" customWidth="1"/>
    <col min="7644" max="7644" width="12.85546875" style="1" customWidth="1"/>
    <col min="7645" max="7645" width="17.85546875" style="1" customWidth="1"/>
    <col min="7646" max="7893" width="9.140625" style="1"/>
    <col min="7894" max="7894" width="11" style="1" customWidth="1"/>
    <col min="7895" max="7895" width="7.42578125" style="1" customWidth="1"/>
    <col min="7896" max="7896" width="25.7109375" style="1" customWidth="1"/>
    <col min="7897" max="7897" width="9" style="1" customWidth="1"/>
    <col min="7898" max="7898" width="11.140625" style="1" customWidth="1"/>
    <col min="7899" max="7899" width="4.85546875" style="1" customWidth="1"/>
    <col min="7900" max="7900" width="12.85546875" style="1" customWidth="1"/>
    <col min="7901" max="7901" width="17.85546875" style="1" customWidth="1"/>
    <col min="7902" max="8149" width="9.140625" style="1"/>
    <col min="8150" max="8150" width="11" style="1" customWidth="1"/>
    <col min="8151" max="8151" width="7.42578125" style="1" customWidth="1"/>
    <col min="8152" max="8152" width="25.7109375" style="1" customWidth="1"/>
    <col min="8153" max="8153" width="9" style="1" customWidth="1"/>
    <col min="8154" max="8154" width="11.140625" style="1" customWidth="1"/>
    <col min="8155" max="8155" width="4.85546875" style="1" customWidth="1"/>
    <col min="8156" max="8156" width="12.85546875" style="1" customWidth="1"/>
    <col min="8157" max="8157" width="17.85546875" style="1" customWidth="1"/>
    <col min="8158" max="8405" width="9.140625" style="1"/>
    <col min="8406" max="8406" width="11" style="1" customWidth="1"/>
    <col min="8407" max="8407" width="7.42578125" style="1" customWidth="1"/>
    <col min="8408" max="8408" width="25.7109375" style="1" customWidth="1"/>
    <col min="8409" max="8409" width="9" style="1" customWidth="1"/>
    <col min="8410" max="8410" width="11.140625" style="1" customWidth="1"/>
    <col min="8411" max="8411" width="4.85546875" style="1" customWidth="1"/>
    <col min="8412" max="8412" width="12.85546875" style="1" customWidth="1"/>
    <col min="8413" max="8413" width="17.85546875" style="1" customWidth="1"/>
    <col min="8414" max="8661" width="9.140625" style="1"/>
    <col min="8662" max="8662" width="11" style="1" customWidth="1"/>
    <col min="8663" max="8663" width="7.42578125" style="1" customWidth="1"/>
    <col min="8664" max="8664" width="25.7109375" style="1" customWidth="1"/>
    <col min="8665" max="8665" width="9" style="1" customWidth="1"/>
    <col min="8666" max="8666" width="11.140625" style="1" customWidth="1"/>
    <col min="8667" max="8667" width="4.85546875" style="1" customWidth="1"/>
    <col min="8668" max="8668" width="12.85546875" style="1" customWidth="1"/>
    <col min="8669" max="8669" width="17.85546875" style="1" customWidth="1"/>
    <col min="8670" max="8917" width="9.140625" style="1"/>
    <col min="8918" max="8918" width="11" style="1" customWidth="1"/>
    <col min="8919" max="8919" width="7.42578125" style="1" customWidth="1"/>
    <col min="8920" max="8920" width="25.7109375" style="1" customWidth="1"/>
    <col min="8921" max="8921" width="9" style="1" customWidth="1"/>
    <col min="8922" max="8922" width="11.140625" style="1" customWidth="1"/>
    <col min="8923" max="8923" width="4.85546875" style="1" customWidth="1"/>
    <col min="8924" max="8924" width="12.85546875" style="1" customWidth="1"/>
    <col min="8925" max="8925" width="17.85546875" style="1" customWidth="1"/>
    <col min="8926" max="9173" width="9.140625" style="1"/>
    <col min="9174" max="9174" width="11" style="1" customWidth="1"/>
    <col min="9175" max="9175" width="7.42578125" style="1" customWidth="1"/>
    <col min="9176" max="9176" width="25.7109375" style="1" customWidth="1"/>
    <col min="9177" max="9177" width="9" style="1" customWidth="1"/>
    <col min="9178" max="9178" width="11.140625" style="1" customWidth="1"/>
    <col min="9179" max="9179" width="4.85546875" style="1" customWidth="1"/>
    <col min="9180" max="9180" width="12.85546875" style="1" customWidth="1"/>
    <col min="9181" max="9181" width="17.85546875" style="1" customWidth="1"/>
    <col min="9182" max="9429" width="9.140625" style="1"/>
    <col min="9430" max="9430" width="11" style="1" customWidth="1"/>
    <col min="9431" max="9431" width="7.42578125" style="1" customWidth="1"/>
    <col min="9432" max="9432" width="25.7109375" style="1" customWidth="1"/>
    <col min="9433" max="9433" width="9" style="1" customWidth="1"/>
    <col min="9434" max="9434" width="11.140625" style="1" customWidth="1"/>
    <col min="9435" max="9435" width="4.85546875" style="1" customWidth="1"/>
    <col min="9436" max="9436" width="12.85546875" style="1" customWidth="1"/>
    <col min="9437" max="9437" width="17.85546875" style="1" customWidth="1"/>
    <col min="9438" max="9685" width="9.140625" style="1"/>
    <col min="9686" max="9686" width="11" style="1" customWidth="1"/>
    <col min="9687" max="9687" width="7.42578125" style="1" customWidth="1"/>
    <col min="9688" max="9688" width="25.7109375" style="1" customWidth="1"/>
    <col min="9689" max="9689" width="9" style="1" customWidth="1"/>
    <col min="9690" max="9690" width="11.140625" style="1" customWidth="1"/>
    <col min="9691" max="9691" width="4.85546875" style="1" customWidth="1"/>
    <col min="9692" max="9692" width="12.85546875" style="1" customWidth="1"/>
    <col min="9693" max="9693" width="17.85546875" style="1" customWidth="1"/>
    <col min="9694" max="9941" width="9.140625" style="1"/>
    <col min="9942" max="9942" width="11" style="1" customWidth="1"/>
    <col min="9943" max="9943" width="7.42578125" style="1" customWidth="1"/>
    <col min="9944" max="9944" width="25.7109375" style="1" customWidth="1"/>
    <col min="9945" max="9945" width="9" style="1" customWidth="1"/>
    <col min="9946" max="9946" width="11.140625" style="1" customWidth="1"/>
    <col min="9947" max="9947" width="4.85546875" style="1" customWidth="1"/>
    <col min="9948" max="9948" width="12.85546875" style="1" customWidth="1"/>
    <col min="9949" max="9949" width="17.85546875" style="1" customWidth="1"/>
    <col min="9950" max="10197" width="9.140625" style="1"/>
    <col min="10198" max="10198" width="11" style="1" customWidth="1"/>
    <col min="10199" max="10199" width="7.42578125" style="1" customWidth="1"/>
    <col min="10200" max="10200" width="25.7109375" style="1" customWidth="1"/>
    <col min="10201" max="10201" width="9" style="1" customWidth="1"/>
    <col min="10202" max="10202" width="11.140625" style="1" customWidth="1"/>
    <col min="10203" max="10203" width="4.85546875" style="1" customWidth="1"/>
    <col min="10204" max="10204" width="12.85546875" style="1" customWidth="1"/>
    <col min="10205" max="10205" width="17.85546875" style="1" customWidth="1"/>
    <col min="10206" max="10453" width="9.140625" style="1"/>
    <col min="10454" max="10454" width="11" style="1" customWidth="1"/>
    <col min="10455" max="10455" width="7.42578125" style="1" customWidth="1"/>
    <col min="10456" max="10456" width="25.7109375" style="1" customWidth="1"/>
    <col min="10457" max="10457" width="9" style="1" customWidth="1"/>
    <col min="10458" max="10458" width="11.140625" style="1" customWidth="1"/>
    <col min="10459" max="10459" width="4.85546875" style="1" customWidth="1"/>
    <col min="10460" max="10460" width="12.85546875" style="1" customWidth="1"/>
    <col min="10461" max="10461" width="17.85546875" style="1" customWidth="1"/>
    <col min="10462" max="10709" width="9.140625" style="1"/>
    <col min="10710" max="10710" width="11" style="1" customWidth="1"/>
    <col min="10711" max="10711" width="7.42578125" style="1" customWidth="1"/>
    <col min="10712" max="10712" width="25.7109375" style="1" customWidth="1"/>
    <col min="10713" max="10713" width="9" style="1" customWidth="1"/>
    <col min="10714" max="10714" width="11.140625" style="1" customWidth="1"/>
    <col min="10715" max="10715" width="4.85546875" style="1" customWidth="1"/>
    <col min="10716" max="10716" width="12.85546875" style="1" customWidth="1"/>
    <col min="10717" max="10717" width="17.85546875" style="1" customWidth="1"/>
    <col min="10718" max="10965" width="9.140625" style="1"/>
    <col min="10966" max="10966" width="11" style="1" customWidth="1"/>
    <col min="10967" max="10967" width="7.42578125" style="1" customWidth="1"/>
    <col min="10968" max="10968" width="25.7109375" style="1" customWidth="1"/>
    <col min="10969" max="10969" width="9" style="1" customWidth="1"/>
    <col min="10970" max="10970" width="11.140625" style="1" customWidth="1"/>
    <col min="10971" max="10971" width="4.85546875" style="1" customWidth="1"/>
    <col min="10972" max="10972" width="12.85546875" style="1" customWidth="1"/>
    <col min="10973" max="10973" width="17.85546875" style="1" customWidth="1"/>
    <col min="10974" max="11221" width="9.140625" style="1"/>
    <col min="11222" max="11222" width="11" style="1" customWidth="1"/>
    <col min="11223" max="11223" width="7.42578125" style="1" customWidth="1"/>
    <col min="11224" max="11224" width="25.7109375" style="1" customWidth="1"/>
    <col min="11225" max="11225" width="9" style="1" customWidth="1"/>
    <col min="11226" max="11226" width="11.140625" style="1" customWidth="1"/>
    <col min="11227" max="11227" width="4.85546875" style="1" customWidth="1"/>
    <col min="11228" max="11228" width="12.85546875" style="1" customWidth="1"/>
    <col min="11229" max="11229" width="17.85546875" style="1" customWidth="1"/>
    <col min="11230" max="11477" width="9.140625" style="1"/>
    <col min="11478" max="11478" width="11" style="1" customWidth="1"/>
    <col min="11479" max="11479" width="7.42578125" style="1" customWidth="1"/>
    <col min="11480" max="11480" width="25.7109375" style="1" customWidth="1"/>
    <col min="11481" max="11481" width="9" style="1" customWidth="1"/>
    <col min="11482" max="11482" width="11.140625" style="1" customWidth="1"/>
    <col min="11483" max="11483" width="4.85546875" style="1" customWidth="1"/>
    <col min="11484" max="11484" width="12.85546875" style="1" customWidth="1"/>
    <col min="11485" max="11485" width="17.85546875" style="1" customWidth="1"/>
    <col min="11486" max="11733" width="9.140625" style="1"/>
    <col min="11734" max="11734" width="11" style="1" customWidth="1"/>
    <col min="11735" max="11735" width="7.42578125" style="1" customWidth="1"/>
    <col min="11736" max="11736" width="25.7109375" style="1" customWidth="1"/>
    <col min="11737" max="11737" width="9" style="1" customWidth="1"/>
    <col min="11738" max="11738" width="11.140625" style="1" customWidth="1"/>
    <col min="11739" max="11739" width="4.85546875" style="1" customWidth="1"/>
    <col min="11740" max="11740" width="12.85546875" style="1" customWidth="1"/>
    <col min="11741" max="11741" width="17.85546875" style="1" customWidth="1"/>
    <col min="11742" max="11989" width="9.140625" style="1"/>
    <col min="11990" max="11990" width="11" style="1" customWidth="1"/>
    <col min="11991" max="11991" width="7.42578125" style="1" customWidth="1"/>
    <col min="11992" max="11992" width="25.7109375" style="1" customWidth="1"/>
    <col min="11993" max="11993" width="9" style="1" customWidth="1"/>
    <col min="11994" max="11994" width="11.140625" style="1" customWidth="1"/>
    <col min="11995" max="11995" width="4.85546875" style="1" customWidth="1"/>
    <col min="11996" max="11996" width="12.85546875" style="1" customWidth="1"/>
    <col min="11997" max="11997" width="17.85546875" style="1" customWidth="1"/>
    <col min="11998" max="12245" width="9.140625" style="1"/>
    <col min="12246" max="12246" width="11" style="1" customWidth="1"/>
    <col min="12247" max="12247" width="7.42578125" style="1" customWidth="1"/>
    <col min="12248" max="12248" width="25.7109375" style="1" customWidth="1"/>
    <col min="12249" max="12249" width="9" style="1" customWidth="1"/>
    <col min="12250" max="12250" width="11.140625" style="1" customWidth="1"/>
    <col min="12251" max="12251" width="4.85546875" style="1" customWidth="1"/>
    <col min="12252" max="12252" width="12.85546875" style="1" customWidth="1"/>
    <col min="12253" max="12253" width="17.85546875" style="1" customWidth="1"/>
    <col min="12254" max="12501" width="9.140625" style="1"/>
    <col min="12502" max="12502" width="11" style="1" customWidth="1"/>
    <col min="12503" max="12503" width="7.42578125" style="1" customWidth="1"/>
    <col min="12504" max="12504" width="25.7109375" style="1" customWidth="1"/>
    <col min="12505" max="12505" width="9" style="1" customWidth="1"/>
    <col min="12506" max="12506" width="11.140625" style="1" customWidth="1"/>
    <col min="12507" max="12507" width="4.85546875" style="1" customWidth="1"/>
    <col min="12508" max="12508" width="12.85546875" style="1" customWidth="1"/>
    <col min="12509" max="12509" width="17.85546875" style="1" customWidth="1"/>
    <col min="12510" max="12757" width="9.140625" style="1"/>
    <col min="12758" max="12758" width="11" style="1" customWidth="1"/>
    <col min="12759" max="12759" width="7.42578125" style="1" customWidth="1"/>
    <col min="12760" max="12760" width="25.7109375" style="1" customWidth="1"/>
    <col min="12761" max="12761" width="9" style="1" customWidth="1"/>
    <col min="12762" max="12762" width="11.140625" style="1" customWidth="1"/>
    <col min="12763" max="12763" width="4.85546875" style="1" customWidth="1"/>
    <col min="12764" max="12764" width="12.85546875" style="1" customWidth="1"/>
    <col min="12765" max="12765" width="17.85546875" style="1" customWidth="1"/>
    <col min="12766" max="13013" width="9.140625" style="1"/>
    <col min="13014" max="13014" width="11" style="1" customWidth="1"/>
    <col min="13015" max="13015" width="7.42578125" style="1" customWidth="1"/>
    <col min="13016" max="13016" width="25.7109375" style="1" customWidth="1"/>
    <col min="13017" max="13017" width="9" style="1" customWidth="1"/>
    <col min="13018" max="13018" width="11.140625" style="1" customWidth="1"/>
    <col min="13019" max="13019" width="4.85546875" style="1" customWidth="1"/>
    <col min="13020" max="13020" width="12.85546875" style="1" customWidth="1"/>
    <col min="13021" max="13021" width="17.85546875" style="1" customWidth="1"/>
    <col min="13022" max="13269" width="9.140625" style="1"/>
    <col min="13270" max="13270" width="11" style="1" customWidth="1"/>
    <col min="13271" max="13271" width="7.42578125" style="1" customWidth="1"/>
    <col min="13272" max="13272" width="25.7109375" style="1" customWidth="1"/>
    <col min="13273" max="13273" width="9" style="1" customWidth="1"/>
    <col min="13274" max="13274" width="11.140625" style="1" customWidth="1"/>
    <col min="13275" max="13275" width="4.85546875" style="1" customWidth="1"/>
    <col min="13276" max="13276" width="12.85546875" style="1" customWidth="1"/>
    <col min="13277" max="13277" width="17.85546875" style="1" customWidth="1"/>
    <col min="13278" max="13525" width="9.140625" style="1"/>
    <col min="13526" max="13526" width="11" style="1" customWidth="1"/>
    <col min="13527" max="13527" width="7.42578125" style="1" customWidth="1"/>
    <col min="13528" max="13528" width="25.7109375" style="1" customWidth="1"/>
    <col min="13529" max="13529" width="9" style="1" customWidth="1"/>
    <col min="13530" max="13530" width="11.140625" style="1" customWidth="1"/>
    <col min="13531" max="13531" width="4.85546875" style="1" customWidth="1"/>
    <col min="13532" max="13532" width="12.85546875" style="1" customWidth="1"/>
    <col min="13533" max="13533" width="17.85546875" style="1" customWidth="1"/>
    <col min="13534" max="13781" width="9.140625" style="1"/>
    <col min="13782" max="13782" width="11" style="1" customWidth="1"/>
    <col min="13783" max="13783" width="7.42578125" style="1" customWidth="1"/>
    <col min="13784" max="13784" width="25.7109375" style="1" customWidth="1"/>
    <col min="13785" max="13785" width="9" style="1" customWidth="1"/>
    <col min="13786" max="13786" width="11.140625" style="1" customWidth="1"/>
    <col min="13787" max="13787" width="4.85546875" style="1" customWidth="1"/>
    <col min="13788" max="13788" width="12.85546875" style="1" customWidth="1"/>
    <col min="13789" max="13789" width="17.85546875" style="1" customWidth="1"/>
    <col min="13790" max="14037" width="9.140625" style="1"/>
    <col min="14038" max="14038" width="11" style="1" customWidth="1"/>
    <col min="14039" max="14039" width="7.42578125" style="1" customWidth="1"/>
    <col min="14040" max="14040" width="25.7109375" style="1" customWidth="1"/>
    <col min="14041" max="14041" width="9" style="1" customWidth="1"/>
    <col min="14042" max="14042" width="11.140625" style="1" customWidth="1"/>
    <col min="14043" max="14043" width="4.85546875" style="1" customWidth="1"/>
    <col min="14044" max="14044" width="12.85546875" style="1" customWidth="1"/>
    <col min="14045" max="14045" width="17.85546875" style="1" customWidth="1"/>
    <col min="14046" max="14293" width="9.140625" style="1"/>
    <col min="14294" max="14294" width="11" style="1" customWidth="1"/>
    <col min="14295" max="14295" width="7.42578125" style="1" customWidth="1"/>
    <col min="14296" max="14296" width="25.7109375" style="1" customWidth="1"/>
    <col min="14297" max="14297" width="9" style="1" customWidth="1"/>
    <col min="14298" max="14298" width="11.140625" style="1" customWidth="1"/>
    <col min="14299" max="14299" width="4.85546875" style="1" customWidth="1"/>
    <col min="14300" max="14300" width="12.85546875" style="1" customWidth="1"/>
    <col min="14301" max="14301" width="17.85546875" style="1" customWidth="1"/>
    <col min="14302" max="14549" width="9.140625" style="1"/>
    <col min="14550" max="14550" width="11" style="1" customWidth="1"/>
    <col min="14551" max="14551" width="7.42578125" style="1" customWidth="1"/>
    <col min="14552" max="14552" width="25.7109375" style="1" customWidth="1"/>
    <col min="14553" max="14553" width="9" style="1" customWidth="1"/>
    <col min="14554" max="14554" width="11.140625" style="1" customWidth="1"/>
    <col min="14555" max="14555" width="4.85546875" style="1" customWidth="1"/>
    <col min="14556" max="14556" width="12.85546875" style="1" customWidth="1"/>
    <col min="14557" max="14557" width="17.85546875" style="1" customWidth="1"/>
    <col min="14558" max="14805" width="9.140625" style="1"/>
    <col min="14806" max="14806" width="11" style="1" customWidth="1"/>
    <col min="14807" max="14807" width="7.42578125" style="1" customWidth="1"/>
    <col min="14808" max="14808" width="25.7109375" style="1" customWidth="1"/>
    <col min="14809" max="14809" width="9" style="1" customWidth="1"/>
    <col min="14810" max="14810" width="11.140625" style="1" customWidth="1"/>
    <col min="14811" max="14811" width="4.85546875" style="1" customWidth="1"/>
    <col min="14812" max="14812" width="12.85546875" style="1" customWidth="1"/>
    <col min="14813" max="14813" width="17.85546875" style="1" customWidth="1"/>
    <col min="14814" max="15061" width="9.140625" style="1"/>
    <col min="15062" max="15062" width="11" style="1" customWidth="1"/>
    <col min="15063" max="15063" width="7.42578125" style="1" customWidth="1"/>
    <col min="15064" max="15064" width="25.7109375" style="1" customWidth="1"/>
    <col min="15065" max="15065" width="9" style="1" customWidth="1"/>
    <col min="15066" max="15066" width="11.140625" style="1" customWidth="1"/>
    <col min="15067" max="15067" width="4.85546875" style="1" customWidth="1"/>
    <col min="15068" max="15068" width="12.85546875" style="1" customWidth="1"/>
    <col min="15069" max="15069" width="17.85546875" style="1" customWidth="1"/>
    <col min="15070" max="15317" width="9.140625" style="1"/>
    <col min="15318" max="15318" width="11" style="1" customWidth="1"/>
    <col min="15319" max="15319" width="7.42578125" style="1" customWidth="1"/>
    <col min="15320" max="15320" width="25.7109375" style="1" customWidth="1"/>
    <col min="15321" max="15321" width="9" style="1" customWidth="1"/>
    <col min="15322" max="15322" width="11.140625" style="1" customWidth="1"/>
    <col min="15323" max="15323" width="4.85546875" style="1" customWidth="1"/>
    <col min="15324" max="15324" width="12.85546875" style="1" customWidth="1"/>
    <col min="15325" max="15325" width="17.85546875" style="1" customWidth="1"/>
    <col min="15326" max="15573" width="9.140625" style="1"/>
    <col min="15574" max="15574" width="11" style="1" customWidth="1"/>
    <col min="15575" max="15575" width="7.42578125" style="1" customWidth="1"/>
    <col min="15576" max="15576" width="25.7109375" style="1" customWidth="1"/>
    <col min="15577" max="15577" width="9" style="1" customWidth="1"/>
    <col min="15578" max="15578" width="11.140625" style="1" customWidth="1"/>
    <col min="15579" max="15579" width="4.85546875" style="1" customWidth="1"/>
    <col min="15580" max="15580" width="12.85546875" style="1" customWidth="1"/>
    <col min="15581" max="15581" width="17.85546875" style="1" customWidth="1"/>
    <col min="15582" max="15829" width="9.140625" style="1"/>
    <col min="15830" max="15830" width="11" style="1" customWidth="1"/>
    <col min="15831" max="15831" width="7.42578125" style="1" customWidth="1"/>
    <col min="15832" max="15832" width="25.7109375" style="1" customWidth="1"/>
    <col min="15833" max="15833" width="9" style="1" customWidth="1"/>
    <col min="15834" max="15834" width="11.140625" style="1" customWidth="1"/>
    <col min="15835" max="15835" width="4.85546875" style="1" customWidth="1"/>
    <col min="15836" max="15836" width="12.85546875" style="1" customWidth="1"/>
    <col min="15837" max="15837" width="17.85546875" style="1" customWidth="1"/>
    <col min="15838" max="16085" width="9.140625" style="1"/>
    <col min="16086" max="16086" width="11" style="1" customWidth="1"/>
    <col min="16087" max="16087" width="7.42578125" style="1" customWidth="1"/>
    <col min="16088" max="16088" width="25.7109375" style="1" customWidth="1"/>
    <col min="16089" max="16089" width="9" style="1" customWidth="1"/>
    <col min="16090" max="16090" width="11.140625" style="1" customWidth="1"/>
    <col min="16091" max="16091" width="4.85546875" style="1" customWidth="1"/>
    <col min="16092" max="16092" width="12.85546875" style="1" customWidth="1"/>
    <col min="16093" max="16093" width="17.85546875" style="1" customWidth="1"/>
    <col min="16094" max="16384" width="11.42578125" style="1"/>
  </cols>
  <sheetData>
    <row r="2" spans="2:12" ht="19.5" thickBot="1" x14ac:dyDescent="0.3">
      <c r="B2" s="82" t="s">
        <v>0</v>
      </c>
      <c r="C2" s="82"/>
      <c r="D2" s="82"/>
      <c r="E2" s="82"/>
      <c r="F2" s="82"/>
      <c r="G2" s="82"/>
      <c r="H2" s="82"/>
      <c r="I2" s="82"/>
    </row>
    <row r="3" spans="2:12" x14ac:dyDescent="0.25">
      <c r="B3" s="29" t="s">
        <v>1</v>
      </c>
      <c r="C3" s="83" t="s">
        <v>27</v>
      </c>
      <c r="D3" s="84"/>
      <c r="E3" s="30"/>
      <c r="F3" s="30"/>
      <c r="G3" s="30"/>
      <c r="H3" s="30"/>
      <c r="I3" s="31"/>
    </row>
    <row r="4" spans="2:12" x14ac:dyDescent="0.25">
      <c r="B4" s="32" t="s">
        <v>3</v>
      </c>
      <c r="C4" s="85" t="s">
        <v>28</v>
      </c>
      <c r="D4" s="86"/>
      <c r="E4" s="33"/>
      <c r="F4" s="33"/>
      <c r="G4" s="33"/>
      <c r="H4" s="34"/>
      <c r="I4" s="35"/>
    </row>
    <row r="5" spans="2:12" x14ac:dyDescent="0.25">
      <c r="B5" s="32" t="s">
        <v>4</v>
      </c>
      <c r="C5" s="87" t="s">
        <v>29</v>
      </c>
      <c r="D5" s="88"/>
      <c r="E5" s="34"/>
      <c r="F5" s="34"/>
      <c r="G5" s="34"/>
      <c r="H5" s="34"/>
      <c r="I5" s="36"/>
    </row>
    <row r="6" spans="2:12" x14ac:dyDescent="0.25">
      <c r="B6" s="37" t="s">
        <v>5</v>
      </c>
      <c r="C6" s="89">
        <v>2</v>
      </c>
      <c r="D6" s="90"/>
      <c r="E6" s="33"/>
      <c r="F6" s="33"/>
      <c r="G6" s="33"/>
      <c r="H6" s="34"/>
      <c r="I6" s="35"/>
    </row>
    <row r="7" spans="2:12" x14ac:dyDescent="0.25">
      <c r="B7" s="38" t="s">
        <v>6</v>
      </c>
      <c r="C7" s="74" t="s">
        <v>30</v>
      </c>
      <c r="D7" s="75"/>
      <c r="E7" s="39"/>
      <c r="F7" s="40"/>
      <c r="G7" s="40"/>
      <c r="H7" s="39"/>
      <c r="I7" s="41"/>
    </row>
    <row r="8" spans="2:12" x14ac:dyDescent="0.25">
      <c r="B8" s="42" t="s">
        <v>8</v>
      </c>
      <c r="C8" s="43" t="s">
        <v>9</v>
      </c>
      <c r="D8" s="44" t="s">
        <v>10</v>
      </c>
      <c r="E8" s="45" t="s">
        <v>11</v>
      </c>
      <c r="F8" s="46" t="s">
        <v>1</v>
      </c>
      <c r="G8" s="45" t="s">
        <v>12</v>
      </c>
      <c r="H8" s="47" t="s">
        <v>13</v>
      </c>
      <c r="I8" s="48" t="s">
        <v>14</v>
      </c>
    </row>
    <row r="9" spans="2:12" x14ac:dyDescent="0.25">
      <c r="B9" s="49"/>
      <c r="C9" s="50"/>
      <c r="D9" s="48"/>
      <c r="E9" s="46"/>
      <c r="F9" s="48" t="str">
        <f>IF(D9="","",LEFT(#REF!, SEARCH(" ",#REF!)-1))</f>
        <v/>
      </c>
      <c r="G9" s="23"/>
      <c r="H9" s="19"/>
      <c r="I9" s="51" t="str">
        <f>IF(E9="","",VLOOKUP(E9, [1]Vuelos!A:C, 3, FALSE))</f>
        <v/>
      </c>
    </row>
    <row r="10" spans="2:12" x14ac:dyDescent="0.25">
      <c r="B10" s="52"/>
      <c r="C10" s="53"/>
      <c r="D10" s="17"/>
      <c r="E10" s="54"/>
      <c r="F10" s="16" t="str">
        <f>IF(D10="","",LEFT($C$3, SEARCH(" ", $C$3)-1))</f>
        <v/>
      </c>
      <c r="G10" s="20"/>
      <c r="H10" s="21"/>
      <c r="I10" s="55" t="str">
        <f>IF(E10="","",VLOOKUP(E10, Vuelos!A:C, 3, FALSE))</f>
        <v/>
      </c>
    </row>
    <row r="11" spans="2:12" x14ac:dyDescent="0.25">
      <c r="B11" s="52">
        <v>45871</v>
      </c>
      <c r="C11" s="53">
        <v>0.3125</v>
      </c>
      <c r="D11" s="17" t="s">
        <v>15</v>
      </c>
      <c r="E11" s="54" t="s">
        <v>31</v>
      </c>
      <c r="F11" s="16" t="str">
        <f t="shared" ref="F11:F21" si="0">IF(D11="","",LEFT($C$3, SEARCH(" ", $C$3)-1))</f>
        <v>NATALIA</v>
      </c>
      <c r="G11" s="20">
        <v>8</v>
      </c>
      <c r="H11" s="21" t="s">
        <v>32</v>
      </c>
      <c r="I11" s="55" t="str">
        <f>IF(E11="","",VLOOKUP(E11, Vuelos!A:C, 3, FALSE))</f>
        <v>VUELO LLEGA 08:34 SCL/LP</v>
      </c>
      <c r="K11" s="20"/>
      <c r="L11" s="26"/>
    </row>
    <row r="12" spans="2:12" x14ac:dyDescent="0.25">
      <c r="B12" s="52"/>
      <c r="C12" s="53"/>
      <c r="D12" s="17"/>
      <c r="E12" s="54"/>
      <c r="F12" s="16" t="str">
        <f t="shared" si="0"/>
        <v/>
      </c>
      <c r="G12" s="20"/>
      <c r="H12" s="21"/>
      <c r="I12" s="55" t="s">
        <v>33</v>
      </c>
    </row>
    <row r="13" spans="2:12" x14ac:dyDescent="0.25">
      <c r="B13" s="52"/>
      <c r="C13" s="53"/>
      <c r="D13" s="17"/>
      <c r="E13" s="54"/>
      <c r="F13" s="16" t="str">
        <f t="shared" si="0"/>
        <v/>
      </c>
      <c r="G13" s="20"/>
      <c r="H13" s="21"/>
      <c r="I13" s="55" t="str">
        <f>IF(E13="","",VLOOKUP(E13, Vuelos!A:C, 3, FALSE))</f>
        <v/>
      </c>
    </row>
    <row r="14" spans="2:12" x14ac:dyDescent="0.25">
      <c r="B14" s="52"/>
      <c r="C14" s="53">
        <v>0.58333333333333337</v>
      </c>
      <c r="D14" s="17" t="s">
        <v>17</v>
      </c>
      <c r="E14" s="54"/>
      <c r="F14" s="16" t="str">
        <f t="shared" si="0"/>
        <v>NATALIA</v>
      </c>
      <c r="G14" s="20">
        <v>8</v>
      </c>
      <c r="H14" s="21" t="s">
        <v>32</v>
      </c>
      <c r="I14" s="55"/>
      <c r="K14" s="20"/>
      <c r="L14" s="26"/>
    </row>
    <row r="15" spans="2:12" x14ac:dyDescent="0.25">
      <c r="B15" s="52"/>
      <c r="C15" s="53"/>
      <c r="D15" s="17"/>
      <c r="E15" s="54"/>
      <c r="F15" s="16" t="str">
        <f t="shared" si="0"/>
        <v/>
      </c>
      <c r="G15" s="20"/>
      <c r="H15" s="21"/>
      <c r="I15" s="55" t="str">
        <f>IF(E15="","",VLOOKUP(E15, Vuelos!A:C, 3, FALSE))</f>
        <v/>
      </c>
    </row>
    <row r="16" spans="2:12" x14ac:dyDescent="0.25">
      <c r="B16" s="52"/>
      <c r="C16" s="53"/>
      <c r="D16" s="17"/>
      <c r="E16" s="54"/>
      <c r="F16" s="16" t="str">
        <f t="shared" ref="F16:F18" si="1">IF(D16="","",LEFT($C$3, SEARCH(" ", $C$3)-1))</f>
        <v/>
      </c>
      <c r="G16" s="20"/>
      <c r="H16" s="21"/>
      <c r="I16" s="55" t="str">
        <f>IF(E16="","",VLOOKUP(E16, Vuelos!A:C, 3, FALSE))</f>
        <v/>
      </c>
    </row>
    <row r="17" spans="2:9" x14ac:dyDescent="0.25">
      <c r="B17" s="52"/>
      <c r="C17" s="53"/>
      <c r="D17" s="17" t="s">
        <v>34</v>
      </c>
      <c r="E17" s="54"/>
      <c r="F17" s="16" t="str">
        <f t="shared" si="1"/>
        <v>NATALIA</v>
      </c>
      <c r="G17" s="20">
        <v>8</v>
      </c>
      <c r="H17" s="21" t="s">
        <v>32</v>
      </c>
      <c r="I17" s="55" t="s">
        <v>35</v>
      </c>
    </row>
    <row r="18" spans="2:9" x14ac:dyDescent="0.25">
      <c r="B18" s="52"/>
      <c r="C18" s="53"/>
      <c r="D18" s="17"/>
      <c r="E18" s="54"/>
      <c r="F18" s="16" t="str">
        <f t="shared" si="1"/>
        <v/>
      </c>
      <c r="G18" s="20"/>
      <c r="H18" s="21"/>
      <c r="I18" s="55" t="str">
        <f>IF(E18="","",VLOOKUP(E18, Vuelos!A:C, 3, FALSE))</f>
        <v/>
      </c>
    </row>
    <row r="19" spans="2:9" x14ac:dyDescent="0.25">
      <c r="B19" s="52"/>
      <c r="C19" s="53"/>
      <c r="D19" s="17"/>
      <c r="E19" s="54"/>
      <c r="F19" s="16" t="str">
        <f t="shared" si="0"/>
        <v/>
      </c>
      <c r="G19" s="20"/>
      <c r="H19" s="21"/>
      <c r="I19" s="55" t="str">
        <f>IF(E19="","",VLOOKUP(E19, Vuelos!A:C, 3, FALSE))</f>
        <v/>
      </c>
    </row>
    <row r="20" spans="2:9" x14ac:dyDescent="0.25">
      <c r="B20" s="52">
        <v>45872</v>
      </c>
      <c r="C20" s="53">
        <v>0.17708333333333334</v>
      </c>
      <c r="D20" s="17" t="s">
        <v>24</v>
      </c>
      <c r="E20" s="54" t="s">
        <v>36</v>
      </c>
      <c r="F20" s="16" t="str">
        <f t="shared" si="0"/>
        <v>NATALIA</v>
      </c>
      <c r="G20" s="20">
        <v>8</v>
      </c>
      <c r="H20" s="21" t="s">
        <v>32</v>
      </c>
      <c r="I20" s="55" t="str">
        <f>IF(E20="","",VLOOKUP(E20, Vuelos!A:C, 3, FALSE))</f>
        <v>VUELO SALE 06:20 LPB/VVI/SRE</v>
      </c>
    </row>
    <row r="21" spans="2:9" x14ac:dyDescent="0.25">
      <c r="B21" s="52"/>
      <c r="C21" s="53"/>
      <c r="D21" s="17"/>
      <c r="E21" s="54"/>
      <c r="F21" s="16" t="str">
        <f t="shared" si="0"/>
        <v/>
      </c>
      <c r="G21" s="20"/>
      <c r="H21" s="21"/>
      <c r="I21" s="55" t="str">
        <f>IF(E21="","",VLOOKUP(E21, Vuelos!A:C, 3, FALSE))</f>
        <v/>
      </c>
    </row>
    <row r="22" spans="2:9" x14ac:dyDescent="0.25">
      <c r="B22" s="56"/>
      <c r="C22" s="57"/>
      <c r="D22" s="24"/>
      <c r="E22" s="58"/>
      <c r="F22" s="59" t="str">
        <f>IF(D22="","",LEFT($C$3, SEARCH(" ", $C$3)-1))</f>
        <v/>
      </c>
      <c r="G22" s="25"/>
      <c r="H22" s="22"/>
      <c r="I22" s="60" t="str">
        <f>IF(E22="","",VLOOKUP(E22, Vuelos!A:C, 3, FALSE))</f>
        <v/>
      </c>
    </row>
    <row r="23" spans="2:9" x14ac:dyDescent="0.25">
      <c r="B23" s="61" t="s">
        <v>19</v>
      </c>
      <c r="C23" s="62"/>
      <c r="D23" s="63"/>
      <c r="E23" s="64"/>
      <c r="F23" s="69"/>
      <c r="G23" s="64"/>
      <c r="H23" s="65"/>
      <c r="I23" s="66"/>
    </row>
    <row r="24" spans="2:9" ht="15" customHeight="1" x14ac:dyDescent="0.25">
      <c r="B24" s="67"/>
      <c r="C24" s="76"/>
      <c r="D24" s="76"/>
      <c r="E24" s="76"/>
      <c r="F24" s="76"/>
      <c r="G24" s="76"/>
      <c r="H24" s="76"/>
      <c r="I24" s="77"/>
    </row>
    <row r="25" spans="2:9" x14ac:dyDescent="0.25">
      <c r="B25" s="61"/>
      <c r="C25" s="78"/>
      <c r="D25" s="78"/>
      <c r="E25" s="78"/>
      <c r="F25" s="78"/>
      <c r="G25" s="78"/>
      <c r="H25" s="78"/>
      <c r="I25" s="79"/>
    </row>
    <row r="26" spans="2:9" x14ac:dyDescent="0.2">
      <c r="B26" s="9" t="s">
        <v>20</v>
      </c>
      <c r="C26" s="80" t="s">
        <v>37</v>
      </c>
      <c r="D26" s="80"/>
      <c r="E26" s="80"/>
      <c r="F26" s="80"/>
      <c r="G26" s="80"/>
      <c r="H26" s="80"/>
      <c r="I26" s="81"/>
    </row>
    <row r="27" spans="2:9" x14ac:dyDescent="0.25">
      <c r="B27" s="9"/>
      <c r="C27" s="70" t="s">
        <v>38</v>
      </c>
      <c r="D27" s="70"/>
      <c r="E27" s="70"/>
      <c r="F27" s="70"/>
      <c r="G27" s="70"/>
      <c r="H27" s="70"/>
      <c r="I27" s="71"/>
    </row>
    <row r="28" spans="2:9" x14ac:dyDescent="0.25">
      <c r="B28" s="9"/>
      <c r="C28" s="72" t="s">
        <v>21</v>
      </c>
      <c r="D28" s="72"/>
      <c r="E28" s="72"/>
      <c r="F28" s="72"/>
      <c r="G28" s="72"/>
      <c r="H28" s="72"/>
      <c r="I28" s="73"/>
    </row>
    <row r="29" spans="2:9" x14ac:dyDescent="0.25">
      <c r="B29" s="10"/>
      <c r="C29" s="11"/>
      <c r="D29" s="12"/>
      <c r="E29" s="12"/>
      <c r="F29" s="68"/>
      <c r="G29" s="12"/>
      <c r="H29" s="13"/>
      <c r="I29" s="14"/>
    </row>
  </sheetData>
  <mergeCells count="11">
    <mergeCell ref="B2:I2"/>
    <mergeCell ref="C3:D3"/>
    <mergeCell ref="C4:D4"/>
    <mergeCell ref="C5:D5"/>
    <mergeCell ref="C6:D6"/>
    <mergeCell ref="C27:I27"/>
    <mergeCell ref="C28:I28"/>
    <mergeCell ref="C7:D7"/>
    <mergeCell ref="C24:I24"/>
    <mergeCell ref="C25:I25"/>
    <mergeCell ref="C26:I26"/>
  </mergeCells>
  <phoneticPr fontId="2" type="noConversion"/>
  <pageMargins left="0.38" right="0.38" top="0.75" bottom="0.75" header="0.3" footer="0.3"/>
  <pageSetup paperSize="121" scale="84" orientation="landscape" horizontalDpi="180" verticalDpi="18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HOTEL" xr:uid="{D2CA8CF8-05EF-4CBA-9CD4-DB7B5B8BE57F}">
          <x14:formula1>
            <xm:f>Hotel!$A:$A</xm:f>
          </x14:formula1>
          <xm:sqref>C7:D7</xm:sqref>
        </x14:dataValidation>
        <x14:dataValidation type="list" allowBlank="1" showInputMessage="1" showErrorMessage="1" xr:uid="{20488CFE-3BC9-49BD-B092-253302A93CD2}">
          <x14:formula1>
            <xm:f>Guias!$A:$A</xm:f>
          </x14:formula1>
          <xm:sqref>C3:D3</xm:sqref>
        </x14:dataValidation>
        <x14:dataValidation type="list" allowBlank="1" showInputMessage="1" showErrorMessage="1" xr:uid="{1D7D3784-83CB-4B0B-A1B7-0599BC859EA7}">
          <x14:formula1>
            <xm:f>Actividades!$A:$A</xm:f>
          </x14:formula1>
          <xm:sqref>D10:D28</xm:sqref>
        </x14:dataValidation>
        <x14:dataValidation type="list" allowBlank="1" showInputMessage="1" showErrorMessage="1" xr:uid="{73AE4E65-46FE-4022-8B79-795FF2D1982B}">
          <x14:formula1>
            <xm:f>Vuelos!$A:$A</xm:f>
          </x14:formula1>
          <xm:sqref>E10:E28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20FF3-64CA-4C6C-8A26-E9153AB3F4CE}">
  <dimension ref="A1:A45"/>
  <sheetViews>
    <sheetView topLeftCell="A31" workbookViewId="0">
      <selection activeCell="A46" sqref="A46"/>
    </sheetView>
  </sheetViews>
  <sheetFormatPr baseColWidth="10" defaultColWidth="11.42578125" defaultRowHeight="15" x14ac:dyDescent="0.25"/>
  <cols>
    <col min="1" max="1" width="21" bestFit="1" customWidth="1"/>
  </cols>
  <sheetData>
    <row r="1" spans="1:1" x14ac:dyDescent="0.25">
      <c r="A1" t="s">
        <v>50</v>
      </c>
    </row>
    <row r="2" spans="1:1" x14ac:dyDescent="0.25">
      <c r="A2" t="s">
        <v>51</v>
      </c>
    </row>
    <row r="3" spans="1:1" x14ac:dyDescent="0.25">
      <c r="A3" t="s">
        <v>52</v>
      </c>
    </row>
    <row r="4" spans="1:1" x14ac:dyDescent="0.25">
      <c r="A4" t="s">
        <v>2</v>
      </c>
    </row>
    <row r="5" spans="1:1" x14ac:dyDescent="0.25">
      <c r="A5" t="s">
        <v>53</v>
      </c>
    </row>
    <row r="6" spans="1:1" x14ac:dyDescent="0.25">
      <c r="A6" t="s">
        <v>54</v>
      </c>
    </row>
    <row r="7" spans="1:1" x14ac:dyDescent="0.25">
      <c r="A7" t="s">
        <v>55</v>
      </c>
    </row>
    <row r="8" spans="1:1" x14ac:dyDescent="0.25">
      <c r="A8" t="s">
        <v>56</v>
      </c>
    </row>
    <row r="9" spans="1:1" x14ac:dyDescent="0.25">
      <c r="A9" t="s">
        <v>57</v>
      </c>
    </row>
    <row r="10" spans="1:1" x14ac:dyDescent="0.25">
      <c r="A10" t="s">
        <v>58</v>
      </c>
    </row>
    <row r="11" spans="1:1" x14ac:dyDescent="0.25">
      <c r="A11" t="s">
        <v>59</v>
      </c>
    </row>
    <row r="12" spans="1:1" x14ac:dyDescent="0.25">
      <c r="A12" t="s">
        <v>42</v>
      </c>
    </row>
    <row r="13" spans="1:1" x14ac:dyDescent="0.25">
      <c r="A13" t="s">
        <v>39</v>
      </c>
    </row>
    <row r="14" spans="1:1" x14ac:dyDescent="0.25">
      <c r="A14" t="s">
        <v>60</v>
      </c>
    </row>
    <row r="15" spans="1:1" x14ac:dyDescent="0.25">
      <c r="A15" t="s">
        <v>61</v>
      </c>
    </row>
    <row r="16" spans="1:1" x14ac:dyDescent="0.25">
      <c r="A16" t="s">
        <v>22</v>
      </c>
    </row>
    <row r="17" spans="1:1" x14ac:dyDescent="0.25">
      <c r="A17" t="s">
        <v>62</v>
      </c>
    </row>
    <row r="18" spans="1:1" x14ac:dyDescent="0.25">
      <c r="A18" t="s">
        <v>63</v>
      </c>
    </row>
    <row r="19" spans="1:1" x14ac:dyDescent="0.25">
      <c r="A19" t="s">
        <v>64</v>
      </c>
    </row>
    <row r="20" spans="1:1" x14ac:dyDescent="0.25">
      <c r="A20" t="s">
        <v>65</v>
      </c>
    </row>
    <row r="21" spans="1:1" x14ac:dyDescent="0.25">
      <c r="A21" t="s">
        <v>66</v>
      </c>
    </row>
    <row r="22" spans="1:1" x14ac:dyDescent="0.25">
      <c r="A22" t="s">
        <v>67</v>
      </c>
    </row>
    <row r="23" spans="1:1" x14ac:dyDescent="0.25">
      <c r="A23" t="s">
        <v>27</v>
      </c>
    </row>
    <row r="24" spans="1:1" x14ac:dyDescent="0.25">
      <c r="A24" t="s">
        <v>68</v>
      </c>
    </row>
    <row r="25" spans="1:1" x14ac:dyDescent="0.25">
      <c r="A25" t="s">
        <v>69</v>
      </c>
    </row>
    <row r="26" spans="1:1" x14ac:dyDescent="0.25">
      <c r="A26" t="s">
        <v>70</v>
      </c>
    </row>
    <row r="27" spans="1:1" x14ac:dyDescent="0.25">
      <c r="A27" t="s">
        <v>71</v>
      </c>
    </row>
    <row r="28" spans="1:1" x14ac:dyDescent="0.25">
      <c r="A28" t="s">
        <v>72</v>
      </c>
    </row>
    <row r="29" spans="1:1" x14ac:dyDescent="0.25">
      <c r="A29" t="s">
        <v>73</v>
      </c>
    </row>
    <row r="30" spans="1:1" x14ac:dyDescent="0.25">
      <c r="A30" t="s">
        <v>74</v>
      </c>
    </row>
    <row r="31" spans="1:1" x14ac:dyDescent="0.25">
      <c r="A31" t="s">
        <v>75</v>
      </c>
    </row>
    <row r="32" spans="1:1" x14ac:dyDescent="0.25">
      <c r="A32" t="s">
        <v>76</v>
      </c>
    </row>
    <row r="33" spans="1:1" x14ac:dyDescent="0.25">
      <c r="A33" t="s">
        <v>77</v>
      </c>
    </row>
    <row r="34" spans="1:1" x14ac:dyDescent="0.25">
      <c r="A34" t="s">
        <v>78</v>
      </c>
    </row>
    <row r="35" spans="1:1" x14ac:dyDescent="0.25">
      <c r="A35" t="s">
        <v>79</v>
      </c>
    </row>
    <row r="36" spans="1:1" x14ac:dyDescent="0.25">
      <c r="A36" t="s">
        <v>80</v>
      </c>
    </row>
    <row r="37" spans="1:1" x14ac:dyDescent="0.25">
      <c r="A37" t="s">
        <v>81</v>
      </c>
    </row>
    <row r="38" spans="1:1" x14ac:dyDescent="0.25">
      <c r="A38" t="s">
        <v>82</v>
      </c>
    </row>
    <row r="39" spans="1:1" x14ac:dyDescent="0.25">
      <c r="A39" t="s">
        <v>83</v>
      </c>
    </row>
    <row r="40" spans="1:1" x14ac:dyDescent="0.25">
      <c r="A40" t="s">
        <v>84</v>
      </c>
    </row>
    <row r="41" spans="1:1" x14ac:dyDescent="0.25">
      <c r="A41" s="15" t="s">
        <v>85</v>
      </c>
    </row>
    <row r="42" spans="1:1" x14ac:dyDescent="0.25">
      <c r="A42" t="s">
        <v>86</v>
      </c>
    </row>
    <row r="43" spans="1:1" x14ac:dyDescent="0.25">
      <c r="A43" t="s">
        <v>87</v>
      </c>
    </row>
    <row r="44" spans="1:1" x14ac:dyDescent="0.25">
      <c r="A44" t="s">
        <v>88</v>
      </c>
    </row>
    <row r="45" spans="1:1" x14ac:dyDescent="0.25">
      <c r="A45" t="s">
        <v>89</v>
      </c>
    </row>
  </sheetData>
  <sortState xmlns:xlrd2="http://schemas.microsoft.com/office/spreadsheetml/2017/richdata2" ref="A3:A29">
    <sortCondition ref="A3:A2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E945-4432-4F3E-947D-1AF2C86BD0DC}">
  <dimension ref="A1:A29"/>
  <sheetViews>
    <sheetView workbookViewId="0">
      <selection activeCell="A30" sqref="A30"/>
    </sheetView>
  </sheetViews>
  <sheetFormatPr baseColWidth="10" defaultColWidth="11.42578125" defaultRowHeight="15" x14ac:dyDescent="0.25"/>
  <cols>
    <col min="1" max="1" width="32.28515625" customWidth="1"/>
  </cols>
  <sheetData>
    <row r="1" spans="1:1" x14ac:dyDescent="0.25">
      <c r="A1" t="s">
        <v>90</v>
      </c>
    </row>
    <row r="2" spans="1:1" x14ac:dyDescent="0.25">
      <c r="A2" t="s">
        <v>91</v>
      </c>
    </row>
    <row r="3" spans="1:1" x14ac:dyDescent="0.25">
      <c r="A3" t="s">
        <v>92</v>
      </c>
    </row>
    <row r="4" spans="1:1" x14ac:dyDescent="0.25">
      <c r="A4" t="s">
        <v>7</v>
      </c>
    </row>
    <row r="5" spans="1:1" x14ac:dyDescent="0.25">
      <c r="A5" t="s">
        <v>93</v>
      </c>
    </row>
    <row r="6" spans="1:1" x14ac:dyDescent="0.25">
      <c r="A6" t="s">
        <v>30</v>
      </c>
    </row>
    <row r="7" spans="1:1" x14ac:dyDescent="0.25">
      <c r="A7" t="s">
        <v>23</v>
      </c>
    </row>
    <row r="8" spans="1:1" x14ac:dyDescent="0.25">
      <c r="A8" t="s">
        <v>94</v>
      </c>
    </row>
    <row r="9" spans="1:1" x14ac:dyDescent="0.25">
      <c r="A9" t="s">
        <v>43</v>
      </c>
    </row>
    <row r="10" spans="1:1" x14ac:dyDescent="0.25">
      <c r="A10" t="s">
        <v>95</v>
      </c>
    </row>
    <row r="11" spans="1:1" x14ac:dyDescent="0.25">
      <c r="A11" t="s">
        <v>96</v>
      </c>
    </row>
    <row r="12" spans="1:1" x14ac:dyDescent="0.25">
      <c r="A12" t="s">
        <v>97</v>
      </c>
    </row>
    <row r="13" spans="1:1" x14ac:dyDescent="0.25">
      <c r="A13" t="s">
        <v>98</v>
      </c>
    </row>
    <row r="14" spans="1:1" x14ac:dyDescent="0.25">
      <c r="A14" t="s">
        <v>99</v>
      </c>
    </row>
    <row r="15" spans="1:1" x14ac:dyDescent="0.25">
      <c r="A15" t="s">
        <v>100</v>
      </c>
    </row>
    <row r="16" spans="1:1" x14ac:dyDescent="0.25">
      <c r="A16" t="s">
        <v>101</v>
      </c>
    </row>
    <row r="17" spans="1:1" x14ac:dyDescent="0.25">
      <c r="A17" t="s">
        <v>102</v>
      </c>
    </row>
    <row r="18" spans="1:1" x14ac:dyDescent="0.25">
      <c r="A18" t="s">
        <v>103</v>
      </c>
    </row>
    <row r="19" spans="1:1" x14ac:dyDescent="0.25">
      <c r="A19" t="s">
        <v>104</v>
      </c>
    </row>
    <row r="20" spans="1:1" x14ac:dyDescent="0.25">
      <c r="A20" t="s">
        <v>105</v>
      </c>
    </row>
    <row r="21" spans="1:1" x14ac:dyDescent="0.25">
      <c r="A21" t="s">
        <v>106</v>
      </c>
    </row>
    <row r="22" spans="1:1" x14ac:dyDescent="0.25">
      <c r="A22" t="s">
        <v>107</v>
      </c>
    </row>
    <row r="23" spans="1:1" x14ac:dyDescent="0.25">
      <c r="A23" t="s">
        <v>108</v>
      </c>
    </row>
    <row r="24" spans="1:1" x14ac:dyDescent="0.25">
      <c r="A24" t="s">
        <v>109</v>
      </c>
    </row>
    <row r="25" spans="1:1" x14ac:dyDescent="0.25">
      <c r="A25" t="s">
        <v>110</v>
      </c>
    </row>
    <row r="26" spans="1:1" x14ac:dyDescent="0.25">
      <c r="A26" t="s">
        <v>111</v>
      </c>
    </row>
    <row r="27" spans="1:1" x14ac:dyDescent="0.25">
      <c r="A27" t="s">
        <v>112</v>
      </c>
    </row>
    <row r="28" spans="1:1" x14ac:dyDescent="0.25">
      <c r="A28" t="s">
        <v>113</v>
      </c>
    </row>
    <row r="29" spans="1:1" x14ac:dyDescent="0.25">
      <c r="A29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9E3C-B080-4B43-9BD0-2323555254FD}">
  <dimension ref="A1:D98"/>
  <sheetViews>
    <sheetView workbookViewId="0">
      <selection activeCell="C62" sqref="C62"/>
    </sheetView>
  </sheetViews>
  <sheetFormatPr baseColWidth="10" defaultColWidth="11.42578125" defaultRowHeight="15" x14ac:dyDescent="0.25"/>
  <cols>
    <col min="1" max="1" width="17.28515625" customWidth="1"/>
    <col min="2" max="2" width="11.7109375" style="5" customWidth="1"/>
    <col min="3" max="3" width="33.5703125" bestFit="1" customWidth="1"/>
  </cols>
  <sheetData>
    <row r="1" spans="1:4" ht="30" customHeight="1" x14ac:dyDescent="0.25">
      <c r="A1" s="6" t="s">
        <v>115</v>
      </c>
      <c r="B1" s="5" t="s">
        <v>9</v>
      </c>
      <c r="C1" t="s">
        <v>116</v>
      </c>
      <c r="D1" t="s">
        <v>117</v>
      </c>
    </row>
    <row r="2" spans="1:4" x14ac:dyDescent="0.25">
      <c r="A2" t="s">
        <v>45</v>
      </c>
      <c r="B2" s="5">
        <v>0.22916666666666666</v>
      </c>
      <c r="C2" t="s">
        <v>118</v>
      </c>
    </row>
    <row r="3" spans="1:4" x14ac:dyDescent="0.25">
      <c r="A3" t="s">
        <v>16</v>
      </c>
      <c r="B3" s="5">
        <v>0.375</v>
      </c>
      <c r="C3" t="s">
        <v>119</v>
      </c>
    </row>
    <row r="4" spans="1:4" x14ac:dyDescent="0.25">
      <c r="A4" t="s">
        <v>120</v>
      </c>
      <c r="B4" s="5">
        <v>0.61458333333333337</v>
      </c>
      <c r="C4" t="s">
        <v>121</v>
      </c>
    </row>
    <row r="5" spans="1:4" x14ac:dyDescent="0.25">
      <c r="A5" t="s">
        <v>122</v>
      </c>
      <c r="B5" s="5">
        <v>0.375</v>
      </c>
      <c r="C5" t="s">
        <v>123</v>
      </c>
    </row>
    <row r="6" spans="1:4" x14ac:dyDescent="0.25">
      <c r="A6" t="s">
        <v>124</v>
      </c>
      <c r="B6" s="5">
        <v>0.875</v>
      </c>
      <c r="C6" t="s">
        <v>125</v>
      </c>
    </row>
    <row r="7" spans="1:4" x14ac:dyDescent="0.25">
      <c r="A7" t="s">
        <v>126</v>
      </c>
      <c r="B7" s="5">
        <v>0.625</v>
      </c>
      <c r="C7" t="s">
        <v>127</v>
      </c>
    </row>
    <row r="8" spans="1:4" x14ac:dyDescent="0.25">
      <c r="A8" t="s">
        <v>128</v>
      </c>
      <c r="B8" s="5">
        <v>0.78125</v>
      </c>
      <c r="C8" t="s">
        <v>129</v>
      </c>
    </row>
    <row r="9" spans="1:4" x14ac:dyDescent="0.25">
      <c r="A9" t="s">
        <v>130</v>
      </c>
      <c r="B9" s="5">
        <v>0.35416666666666669</v>
      </c>
      <c r="C9" t="s">
        <v>131</v>
      </c>
    </row>
    <row r="10" spans="1:4" x14ac:dyDescent="0.25">
      <c r="A10" t="s">
        <v>132</v>
      </c>
      <c r="B10" s="5">
        <v>0.13541666666666666</v>
      </c>
      <c r="C10" t="s">
        <v>133</v>
      </c>
    </row>
    <row r="11" spans="1:4" x14ac:dyDescent="0.25">
      <c r="A11" t="s">
        <v>134</v>
      </c>
      <c r="B11" s="5">
        <v>0.71875</v>
      </c>
      <c r="C11" t="s">
        <v>135</v>
      </c>
    </row>
    <row r="12" spans="1:4" x14ac:dyDescent="0.25">
      <c r="A12" t="s">
        <v>136</v>
      </c>
      <c r="B12" s="5">
        <v>0.375</v>
      </c>
      <c r="C12" t="s">
        <v>137</v>
      </c>
    </row>
    <row r="13" spans="1:4" x14ac:dyDescent="0.25">
      <c r="A13" t="s">
        <v>138</v>
      </c>
      <c r="B13" s="5">
        <v>0.35416666666666669</v>
      </c>
      <c r="C13" t="s">
        <v>139</v>
      </c>
    </row>
    <row r="14" spans="1:4" x14ac:dyDescent="0.25">
      <c r="A14" t="s">
        <v>140</v>
      </c>
      <c r="B14" s="5">
        <v>0.2361111111111111</v>
      </c>
      <c r="C14" t="s">
        <v>141</v>
      </c>
    </row>
    <row r="15" spans="1:4" x14ac:dyDescent="0.25">
      <c r="A15" t="s">
        <v>142</v>
      </c>
      <c r="B15" s="5">
        <v>0.52083333333333337</v>
      </c>
      <c r="C15" t="s">
        <v>143</v>
      </c>
    </row>
    <row r="16" spans="1:4" ht="14.25" customHeight="1" x14ac:dyDescent="0.25">
      <c r="A16" s="6" t="s">
        <v>144</v>
      </c>
      <c r="B16" s="5">
        <v>0.58333333333333337</v>
      </c>
      <c r="C16" t="s">
        <v>145</v>
      </c>
    </row>
    <row r="17" spans="1:3" x14ac:dyDescent="0.25">
      <c r="A17" t="s">
        <v>146</v>
      </c>
      <c r="B17" s="5">
        <v>0.71875</v>
      </c>
      <c r="C17" t="s">
        <v>147</v>
      </c>
    </row>
    <row r="18" spans="1:3" x14ac:dyDescent="0.25">
      <c r="A18" t="s">
        <v>148</v>
      </c>
      <c r="B18" s="5">
        <v>5.2083333333333336E-2</v>
      </c>
      <c r="C18" t="s">
        <v>149</v>
      </c>
    </row>
    <row r="19" spans="1:3" x14ac:dyDescent="0.25">
      <c r="A19" t="s">
        <v>150</v>
      </c>
      <c r="B19" s="5">
        <v>0.46180555555555558</v>
      </c>
      <c r="C19" t="s">
        <v>151</v>
      </c>
    </row>
    <row r="20" spans="1:3" x14ac:dyDescent="0.25">
      <c r="A20" t="s">
        <v>152</v>
      </c>
      <c r="B20" s="5">
        <v>0.91666666666666663</v>
      </c>
      <c r="C20" t="s">
        <v>153</v>
      </c>
    </row>
    <row r="21" spans="1:3" x14ac:dyDescent="0.25">
      <c r="A21" t="s">
        <v>154</v>
      </c>
      <c r="B21" s="5">
        <v>0.375</v>
      </c>
      <c r="C21" t="s">
        <v>155</v>
      </c>
    </row>
    <row r="22" spans="1:3" x14ac:dyDescent="0.25">
      <c r="A22" t="s">
        <v>156</v>
      </c>
      <c r="B22" s="5">
        <v>0.25</v>
      </c>
      <c r="C22" t="s">
        <v>157</v>
      </c>
    </row>
    <row r="23" spans="1:3" x14ac:dyDescent="0.25">
      <c r="A23" t="s">
        <v>158</v>
      </c>
      <c r="B23" s="5">
        <v>0.25</v>
      </c>
      <c r="C23" t="s">
        <v>159</v>
      </c>
    </row>
    <row r="24" spans="1:3" x14ac:dyDescent="0.25">
      <c r="A24" t="s">
        <v>160</v>
      </c>
      <c r="B24" s="5">
        <v>0.66666666666666663</v>
      </c>
      <c r="C24" t="s">
        <v>161</v>
      </c>
    </row>
    <row r="25" spans="1:3" x14ac:dyDescent="0.25">
      <c r="A25" t="s">
        <v>162</v>
      </c>
      <c r="B25" s="5">
        <v>0.82291666666666663</v>
      </c>
      <c r="C25" t="s">
        <v>163</v>
      </c>
    </row>
    <row r="26" spans="1:3" x14ac:dyDescent="0.25">
      <c r="A26" t="s">
        <v>164</v>
      </c>
      <c r="B26" s="5">
        <v>0.5</v>
      </c>
      <c r="C26" t="s">
        <v>165</v>
      </c>
    </row>
    <row r="27" spans="1:3" x14ac:dyDescent="0.25">
      <c r="A27" t="s">
        <v>166</v>
      </c>
      <c r="B27" s="5">
        <v>0.5</v>
      </c>
      <c r="C27" t="s">
        <v>167</v>
      </c>
    </row>
    <row r="28" spans="1:3" x14ac:dyDescent="0.25">
      <c r="A28" t="s">
        <v>168</v>
      </c>
      <c r="B28" s="5">
        <v>0.13541666666666666</v>
      </c>
      <c r="C28" t="s">
        <v>169</v>
      </c>
    </row>
    <row r="29" spans="1:3" x14ac:dyDescent="0.25">
      <c r="A29" t="s">
        <v>170</v>
      </c>
      <c r="B29" s="5">
        <v>0.2638888888888889</v>
      </c>
      <c r="C29" t="s">
        <v>171</v>
      </c>
    </row>
    <row r="30" spans="1:3" x14ac:dyDescent="0.25">
      <c r="A30" t="s">
        <v>172</v>
      </c>
      <c r="B30" s="5">
        <v>0.75</v>
      </c>
      <c r="C30" t="s">
        <v>173</v>
      </c>
    </row>
    <row r="31" spans="1:3" x14ac:dyDescent="0.25">
      <c r="A31" t="s">
        <v>174</v>
      </c>
      <c r="B31" s="5">
        <v>0.84027777777777779</v>
      </c>
      <c r="C31" t="s">
        <v>175</v>
      </c>
    </row>
    <row r="32" spans="1:3" x14ac:dyDescent="0.25">
      <c r="A32" t="s">
        <v>176</v>
      </c>
      <c r="B32" s="5">
        <v>0.30902777777777779</v>
      </c>
      <c r="C32" t="s">
        <v>177</v>
      </c>
    </row>
    <row r="33" spans="1:3" x14ac:dyDescent="0.25">
      <c r="A33" t="s">
        <v>178</v>
      </c>
      <c r="B33" s="5">
        <v>0.17708333333333334</v>
      </c>
      <c r="C33" t="s">
        <v>179</v>
      </c>
    </row>
    <row r="34" spans="1:3" x14ac:dyDescent="0.25">
      <c r="A34" t="s">
        <v>180</v>
      </c>
      <c r="B34" s="5">
        <v>0.58333333333333337</v>
      </c>
      <c r="C34" t="s">
        <v>181</v>
      </c>
    </row>
    <row r="35" spans="1:3" x14ac:dyDescent="0.25">
      <c r="A35" t="s">
        <v>182</v>
      </c>
      <c r="B35" s="5">
        <v>0.58333333333333337</v>
      </c>
      <c r="C35" t="s">
        <v>183</v>
      </c>
    </row>
    <row r="36" spans="1:3" x14ac:dyDescent="0.25">
      <c r="A36" t="s">
        <v>184</v>
      </c>
      <c r="B36" s="5">
        <v>0.23958333333333334</v>
      </c>
      <c r="C36" t="s">
        <v>185</v>
      </c>
    </row>
    <row r="37" spans="1:3" x14ac:dyDescent="0.25">
      <c r="A37" t="s">
        <v>186</v>
      </c>
      <c r="B37" s="5">
        <v>0.46180555555555558</v>
      </c>
      <c r="C37" t="s">
        <v>187</v>
      </c>
    </row>
    <row r="38" spans="1:3" x14ac:dyDescent="0.25">
      <c r="A38" t="s">
        <v>188</v>
      </c>
      <c r="B38" s="5">
        <v>0.71180555555555558</v>
      </c>
      <c r="C38" t="s">
        <v>189</v>
      </c>
    </row>
    <row r="39" spans="1:3" x14ac:dyDescent="0.25">
      <c r="A39" t="s">
        <v>190</v>
      </c>
      <c r="B39" s="5">
        <v>0.71180555555555558</v>
      </c>
      <c r="C39" t="s">
        <v>145</v>
      </c>
    </row>
    <row r="40" spans="1:3" x14ac:dyDescent="0.25">
      <c r="A40" t="s">
        <v>191</v>
      </c>
      <c r="B40" s="5">
        <v>0.79166666666666663</v>
      </c>
      <c r="C40" t="s">
        <v>192</v>
      </c>
    </row>
    <row r="41" spans="1:3" x14ac:dyDescent="0.25">
      <c r="A41" t="s">
        <v>193</v>
      </c>
      <c r="B41" s="5">
        <v>0.23958333333333334</v>
      </c>
      <c r="C41" t="s">
        <v>194</v>
      </c>
    </row>
    <row r="42" spans="1:3" x14ac:dyDescent="0.25">
      <c r="A42" t="s">
        <v>195</v>
      </c>
      <c r="B42" s="5">
        <v>0.44097222222222221</v>
      </c>
      <c r="C42" t="s">
        <v>167</v>
      </c>
    </row>
    <row r="43" spans="1:3" x14ac:dyDescent="0.25">
      <c r="A43" t="s">
        <v>196</v>
      </c>
      <c r="B43" s="5">
        <v>0.85416666666666663</v>
      </c>
      <c r="C43" t="s">
        <v>197</v>
      </c>
    </row>
    <row r="44" spans="1:3" x14ac:dyDescent="0.25">
      <c r="A44" t="s">
        <v>198</v>
      </c>
      <c r="B44" s="5">
        <v>0.48958333333333331</v>
      </c>
      <c r="C44" t="s">
        <v>199</v>
      </c>
    </row>
    <row r="45" spans="1:3" x14ac:dyDescent="0.25">
      <c r="A45" t="s">
        <v>162</v>
      </c>
      <c r="B45" s="5">
        <v>0.82291666666666663</v>
      </c>
      <c r="C45" t="s">
        <v>163</v>
      </c>
    </row>
    <row r="46" spans="1:3" x14ac:dyDescent="0.25">
      <c r="A46" t="s">
        <v>200</v>
      </c>
      <c r="B46" s="5">
        <v>0.80902777777777779</v>
      </c>
      <c r="C46" t="s">
        <v>201</v>
      </c>
    </row>
    <row r="47" spans="1:3" x14ac:dyDescent="0.25">
      <c r="A47" t="s">
        <v>202</v>
      </c>
      <c r="B47" s="5">
        <v>0.46180555555555558</v>
      </c>
      <c r="C47" t="s">
        <v>203</v>
      </c>
    </row>
    <row r="48" spans="1:3" x14ac:dyDescent="0.25">
      <c r="A48" t="s">
        <v>204</v>
      </c>
      <c r="B48" s="5">
        <v>0.48958333333333331</v>
      </c>
      <c r="C48" t="s">
        <v>199</v>
      </c>
    </row>
    <row r="49" spans="1:3" x14ac:dyDescent="0.25">
      <c r="A49" t="s">
        <v>205</v>
      </c>
      <c r="B49" s="5">
        <v>0.56597222222222221</v>
      </c>
      <c r="C49" t="s">
        <v>206</v>
      </c>
    </row>
    <row r="50" spans="1:3" x14ac:dyDescent="0.25">
      <c r="A50" t="s">
        <v>207</v>
      </c>
      <c r="B50" s="5">
        <v>0.41666666666666669</v>
      </c>
      <c r="C50" t="s">
        <v>208</v>
      </c>
    </row>
    <row r="51" spans="1:3" x14ac:dyDescent="0.25">
      <c r="A51" t="s">
        <v>209</v>
      </c>
      <c r="B51" s="5">
        <v>0.46875</v>
      </c>
      <c r="C51" t="s">
        <v>210</v>
      </c>
    </row>
    <row r="52" spans="1:3" x14ac:dyDescent="0.25">
      <c r="A52" t="s">
        <v>211</v>
      </c>
      <c r="B52" s="5">
        <v>0.125</v>
      </c>
      <c r="C52" t="s">
        <v>212</v>
      </c>
    </row>
    <row r="53" spans="1:3" x14ac:dyDescent="0.25">
      <c r="A53" t="s">
        <v>213</v>
      </c>
      <c r="B53" s="5">
        <v>4.1666666666666664E-2</v>
      </c>
      <c r="C53" t="s">
        <v>214</v>
      </c>
    </row>
    <row r="54" spans="1:3" x14ac:dyDescent="0.25">
      <c r="A54" t="s">
        <v>215</v>
      </c>
      <c r="B54" s="5">
        <v>0.58333333333333337</v>
      </c>
      <c r="C54" t="s">
        <v>147</v>
      </c>
    </row>
    <row r="55" spans="1:3" x14ac:dyDescent="0.25">
      <c r="A55" t="s">
        <v>216</v>
      </c>
      <c r="B55" s="5">
        <v>0.31597222222222221</v>
      </c>
      <c r="C55" t="s">
        <v>217</v>
      </c>
    </row>
    <row r="56" spans="1:3" x14ac:dyDescent="0.25">
      <c r="A56" t="s">
        <v>218</v>
      </c>
      <c r="B56" s="5">
        <v>0.55208333333333337</v>
      </c>
      <c r="C56" t="s">
        <v>219</v>
      </c>
    </row>
    <row r="57" spans="1:3" x14ac:dyDescent="0.25">
      <c r="A57" t="s">
        <v>220</v>
      </c>
      <c r="B57" s="5">
        <v>0.29166666666666669</v>
      </c>
      <c r="C57" t="s">
        <v>221</v>
      </c>
    </row>
    <row r="58" spans="1:3" x14ac:dyDescent="0.25">
      <c r="A58" t="s">
        <v>222</v>
      </c>
      <c r="B58" s="5">
        <v>0.55208333333333337</v>
      </c>
      <c r="C58" t="s">
        <v>223</v>
      </c>
    </row>
    <row r="59" spans="1:3" x14ac:dyDescent="0.25">
      <c r="A59" t="s">
        <v>224</v>
      </c>
      <c r="B59" s="5">
        <v>0.625</v>
      </c>
      <c r="C59" t="s">
        <v>225</v>
      </c>
    </row>
    <row r="60" spans="1:3" x14ac:dyDescent="0.25">
      <c r="A60" t="s">
        <v>226</v>
      </c>
      <c r="B60" s="5">
        <v>0.91666666666666663</v>
      </c>
      <c r="C60" t="s">
        <v>227</v>
      </c>
    </row>
    <row r="61" spans="1:3" x14ac:dyDescent="0.25">
      <c r="A61" t="s">
        <v>36</v>
      </c>
      <c r="B61" s="5">
        <v>0.2638888888888889</v>
      </c>
      <c r="C61" t="s">
        <v>228</v>
      </c>
    </row>
    <row r="65" spans="1:3" x14ac:dyDescent="0.25">
      <c r="A65" t="s">
        <v>229</v>
      </c>
      <c r="B65" s="5">
        <v>0.25</v>
      </c>
      <c r="C65" t="s">
        <v>230</v>
      </c>
    </row>
    <row r="66" spans="1:3" x14ac:dyDescent="0.25">
      <c r="A66" t="s">
        <v>231</v>
      </c>
      <c r="B66" s="5">
        <v>0.375</v>
      </c>
      <c r="C66" t="s">
        <v>232</v>
      </c>
    </row>
    <row r="67" spans="1:3" x14ac:dyDescent="0.25">
      <c r="A67" t="s">
        <v>233</v>
      </c>
      <c r="B67" s="5">
        <v>0.34722222222222221</v>
      </c>
      <c r="C67" t="s">
        <v>234</v>
      </c>
    </row>
    <row r="71" spans="1:3" x14ac:dyDescent="0.25">
      <c r="A71" t="s">
        <v>235</v>
      </c>
      <c r="B71" s="5">
        <v>0.5</v>
      </c>
      <c r="C71" t="s">
        <v>236</v>
      </c>
    </row>
    <row r="72" spans="1:3" x14ac:dyDescent="0.25">
      <c r="A72" t="s">
        <v>237</v>
      </c>
      <c r="B72" s="5">
        <v>0.55208333333333337</v>
      </c>
      <c r="C72" t="s">
        <v>238</v>
      </c>
    </row>
    <row r="73" spans="1:3" x14ac:dyDescent="0.25">
      <c r="A73" t="s">
        <v>239</v>
      </c>
      <c r="B73" s="5">
        <v>0.50347222222222221</v>
      </c>
      <c r="C73" t="s">
        <v>240</v>
      </c>
    </row>
    <row r="74" spans="1:3" x14ac:dyDescent="0.25">
      <c r="A74" t="s">
        <v>241</v>
      </c>
      <c r="B74" s="5">
        <v>0.48888888888888887</v>
      </c>
      <c r="C74" t="s">
        <v>242</v>
      </c>
    </row>
    <row r="75" spans="1:3" x14ac:dyDescent="0.25">
      <c r="A75" t="s">
        <v>243</v>
      </c>
      <c r="B75" s="5">
        <v>0.67708333333333337</v>
      </c>
      <c r="C75" t="s">
        <v>244</v>
      </c>
    </row>
    <row r="76" spans="1:3" x14ac:dyDescent="0.25">
      <c r="A76" t="s">
        <v>245</v>
      </c>
      <c r="B76" s="5">
        <v>0.71875</v>
      </c>
      <c r="C76" t="s">
        <v>246</v>
      </c>
    </row>
    <row r="77" spans="1:3" x14ac:dyDescent="0.25">
      <c r="A77" t="s">
        <v>247</v>
      </c>
      <c r="B77" s="5">
        <v>0.13541666666666666</v>
      </c>
      <c r="C77" t="s">
        <v>248</v>
      </c>
    </row>
    <row r="78" spans="1:3" x14ac:dyDescent="0.25">
      <c r="A78" t="s">
        <v>249</v>
      </c>
      <c r="B78" s="5">
        <v>0.89583333333333337</v>
      </c>
      <c r="C78" t="s">
        <v>250</v>
      </c>
    </row>
    <row r="79" spans="1:3" x14ac:dyDescent="0.25">
      <c r="A79" t="s">
        <v>251</v>
      </c>
      <c r="B79" s="5">
        <v>0.89236111111111116</v>
      </c>
      <c r="C79" t="s">
        <v>252</v>
      </c>
    </row>
    <row r="81" spans="1:3" x14ac:dyDescent="0.25">
      <c r="A81" t="s">
        <v>253</v>
      </c>
      <c r="B81" s="5">
        <v>0.10416666666666667</v>
      </c>
      <c r="C81" t="s">
        <v>254</v>
      </c>
    </row>
    <row r="82" spans="1:3" x14ac:dyDescent="0.25">
      <c r="A82" t="s">
        <v>255</v>
      </c>
      <c r="B82" s="5">
        <v>0.25</v>
      </c>
      <c r="C82" t="s">
        <v>256</v>
      </c>
    </row>
    <row r="83" spans="1:3" x14ac:dyDescent="0.25">
      <c r="A83" t="s">
        <v>257</v>
      </c>
      <c r="B83" s="5">
        <v>0.24305555555555555</v>
      </c>
      <c r="C83" t="s">
        <v>258</v>
      </c>
    </row>
    <row r="84" spans="1:3" x14ac:dyDescent="0.25">
      <c r="A84" t="s">
        <v>259</v>
      </c>
      <c r="B84" s="5">
        <v>0.25694444444444442</v>
      </c>
      <c r="C84" t="s">
        <v>260</v>
      </c>
    </row>
    <row r="85" spans="1:3" x14ac:dyDescent="0.25">
      <c r="A85" t="s">
        <v>261</v>
      </c>
      <c r="B85" s="5">
        <v>0.14583333333333334</v>
      </c>
      <c r="C85" t="s">
        <v>262</v>
      </c>
    </row>
    <row r="86" spans="1:3" x14ac:dyDescent="0.25">
      <c r="A86" t="s">
        <v>263</v>
      </c>
      <c r="B86" s="5">
        <v>0.14583333333333334</v>
      </c>
      <c r="C86" t="s">
        <v>264</v>
      </c>
    </row>
    <row r="87" spans="1:3" x14ac:dyDescent="0.25">
      <c r="A87" t="s">
        <v>265</v>
      </c>
      <c r="B87" s="5">
        <v>0.11458333333333333</v>
      </c>
      <c r="C87" t="s">
        <v>266</v>
      </c>
    </row>
    <row r="88" spans="1:3" x14ac:dyDescent="0.25">
      <c r="A88" t="s">
        <v>267</v>
      </c>
      <c r="B88" s="5">
        <v>4.2361111111111113E-2</v>
      </c>
      <c r="C88" t="s">
        <v>262</v>
      </c>
    </row>
    <row r="89" spans="1:3" x14ac:dyDescent="0.25">
      <c r="A89" t="s">
        <v>268</v>
      </c>
      <c r="B89" s="5">
        <v>0.25</v>
      </c>
      <c r="C89" t="s">
        <v>269</v>
      </c>
    </row>
    <row r="90" spans="1:3" x14ac:dyDescent="0.25">
      <c r="A90" t="s">
        <v>31</v>
      </c>
      <c r="B90" s="5">
        <v>0.3125</v>
      </c>
      <c r="C90" t="s">
        <v>270</v>
      </c>
    </row>
    <row r="91" spans="1:3" x14ac:dyDescent="0.25">
      <c r="A91" t="s">
        <v>271</v>
      </c>
      <c r="B91" s="5">
        <v>0.38472222222222224</v>
      </c>
      <c r="C91" t="s">
        <v>272</v>
      </c>
    </row>
    <row r="92" spans="1:3" x14ac:dyDescent="0.25">
      <c r="A92" t="s">
        <v>273</v>
      </c>
      <c r="B92" s="5">
        <v>0.22847222222222222</v>
      </c>
      <c r="C92" t="s">
        <v>274</v>
      </c>
    </row>
    <row r="94" spans="1:3" x14ac:dyDescent="0.25">
      <c r="A94" t="s">
        <v>275</v>
      </c>
      <c r="B94" s="5">
        <v>0.5</v>
      </c>
      <c r="C94" t="s">
        <v>276</v>
      </c>
    </row>
    <row r="97" spans="1:3" x14ac:dyDescent="0.25">
      <c r="A97" t="s">
        <v>277</v>
      </c>
      <c r="C97" t="s">
        <v>278</v>
      </c>
    </row>
    <row r="98" spans="1:3" x14ac:dyDescent="0.25">
      <c r="C98" t="s">
        <v>279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BAE2-5162-40EA-8D01-A2A98D5585BE}">
  <dimension ref="A1:A209"/>
  <sheetViews>
    <sheetView workbookViewId="0">
      <selection activeCell="A208" sqref="A208"/>
    </sheetView>
  </sheetViews>
  <sheetFormatPr baseColWidth="10" defaultColWidth="11.42578125" defaultRowHeight="15" x14ac:dyDescent="0.25"/>
  <cols>
    <col min="1" max="1" width="55.7109375" style="7" customWidth="1"/>
  </cols>
  <sheetData>
    <row r="1" spans="1:1" x14ac:dyDescent="0.25">
      <c r="A1" s="7" t="s">
        <v>280</v>
      </c>
    </row>
    <row r="2" spans="1:1" x14ac:dyDescent="0.25">
      <c r="A2" s="4" t="s">
        <v>15</v>
      </c>
    </row>
    <row r="3" spans="1:1" x14ac:dyDescent="0.25">
      <c r="A3" s="4" t="s">
        <v>24</v>
      </c>
    </row>
    <row r="4" spans="1:1" x14ac:dyDescent="0.25">
      <c r="A4" s="4" t="s">
        <v>281</v>
      </c>
    </row>
    <row r="5" spans="1:1" x14ac:dyDescent="0.25">
      <c r="A5" s="4" t="s">
        <v>17</v>
      </c>
    </row>
    <row r="6" spans="1:1" x14ac:dyDescent="0.25">
      <c r="A6" s="4" t="s">
        <v>282</v>
      </c>
    </row>
    <row r="7" spans="1:1" x14ac:dyDescent="0.25">
      <c r="A7" s="4" t="s">
        <v>283</v>
      </c>
    </row>
    <row r="8" spans="1:1" x14ac:dyDescent="0.25">
      <c r="A8" s="4" t="s">
        <v>18</v>
      </c>
    </row>
    <row r="9" spans="1:1" x14ac:dyDescent="0.25">
      <c r="A9" s="4" t="s">
        <v>41</v>
      </c>
    </row>
    <row r="10" spans="1:1" x14ac:dyDescent="0.25">
      <c r="A10" s="4" t="s">
        <v>284</v>
      </c>
    </row>
    <row r="11" spans="1:1" x14ac:dyDescent="0.25">
      <c r="A11" s="4" t="s">
        <v>285</v>
      </c>
    </row>
    <row r="12" spans="1:1" x14ac:dyDescent="0.25">
      <c r="A12" s="4" t="s">
        <v>286</v>
      </c>
    </row>
    <row r="13" spans="1:1" x14ac:dyDescent="0.25">
      <c r="A13" s="4" t="s">
        <v>287</v>
      </c>
    </row>
    <row r="14" spans="1:1" x14ac:dyDescent="0.25">
      <c r="A14" s="4" t="s">
        <v>44</v>
      </c>
    </row>
    <row r="15" spans="1:1" x14ac:dyDescent="0.25">
      <c r="A15" s="4" t="s">
        <v>288</v>
      </c>
    </row>
    <row r="16" spans="1:1" x14ac:dyDescent="0.25">
      <c r="A16" s="3" t="s">
        <v>289</v>
      </c>
    </row>
    <row r="17" spans="1:1" x14ac:dyDescent="0.25">
      <c r="A17" s="3" t="s">
        <v>290</v>
      </c>
    </row>
    <row r="18" spans="1:1" x14ac:dyDescent="0.25">
      <c r="A18" s="7" t="s">
        <v>291</v>
      </c>
    </row>
    <row r="19" spans="1:1" x14ac:dyDescent="0.25">
      <c r="A19" s="7" t="s">
        <v>292</v>
      </c>
    </row>
    <row r="20" spans="1:1" x14ac:dyDescent="0.25">
      <c r="A20" s="7" t="s">
        <v>293</v>
      </c>
    </row>
    <row r="21" spans="1:1" x14ac:dyDescent="0.25">
      <c r="A21" s="7" t="s">
        <v>294</v>
      </c>
    </row>
    <row r="22" spans="1:1" x14ac:dyDescent="0.25">
      <c r="A22" s="7" t="s">
        <v>295</v>
      </c>
    </row>
    <row r="23" spans="1:1" x14ac:dyDescent="0.25">
      <c r="A23" s="7" t="s">
        <v>296</v>
      </c>
    </row>
    <row r="24" spans="1:1" x14ac:dyDescent="0.25">
      <c r="A24" s="7" t="s">
        <v>297</v>
      </c>
    </row>
    <row r="25" spans="1:1" x14ac:dyDescent="0.25">
      <c r="A25" s="7" t="s">
        <v>298</v>
      </c>
    </row>
    <row r="26" spans="1:1" x14ac:dyDescent="0.25">
      <c r="A26" s="7" t="s">
        <v>299</v>
      </c>
    </row>
    <row r="27" spans="1:1" x14ac:dyDescent="0.25">
      <c r="A27" s="7" t="s">
        <v>300</v>
      </c>
    </row>
    <row r="28" spans="1:1" x14ac:dyDescent="0.25">
      <c r="A28" s="7" t="s">
        <v>301</v>
      </c>
    </row>
    <row r="29" spans="1:1" x14ac:dyDescent="0.25">
      <c r="A29" s="7" t="s">
        <v>302</v>
      </c>
    </row>
    <row r="30" spans="1:1" x14ac:dyDescent="0.25">
      <c r="A30" s="7" t="s">
        <v>47</v>
      </c>
    </row>
    <row r="31" spans="1:1" x14ac:dyDescent="0.25">
      <c r="A31" s="4" t="s">
        <v>303</v>
      </c>
    </row>
    <row r="32" spans="1:1" x14ac:dyDescent="0.25">
      <c r="A32" s="7" t="s">
        <v>297</v>
      </c>
    </row>
    <row r="33" spans="1:1" x14ac:dyDescent="0.25">
      <c r="A33" s="7" t="s">
        <v>298</v>
      </c>
    </row>
    <row r="34" spans="1:1" x14ac:dyDescent="0.25">
      <c r="A34" s="7" t="s">
        <v>299</v>
      </c>
    </row>
    <row r="35" spans="1:1" x14ac:dyDescent="0.25">
      <c r="A35" s="7" t="s">
        <v>304</v>
      </c>
    </row>
    <row r="36" spans="1:1" x14ac:dyDescent="0.25">
      <c r="A36" s="7" t="s">
        <v>305</v>
      </c>
    </row>
    <row r="37" spans="1:1" x14ac:dyDescent="0.25">
      <c r="A37" s="7" t="s">
        <v>306</v>
      </c>
    </row>
    <row r="38" spans="1:1" x14ac:dyDescent="0.25">
      <c r="A38" s="7" t="s">
        <v>307</v>
      </c>
    </row>
    <row r="39" spans="1:1" x14ac:dyDescent="0.25">
      <c r="A39" s="7" t="s">
        <v>308</v>
      </c>
    </row>
    <row r="40" spans="1:1" x14ac:dyDescent="0.25">
      <c r="A40" s="7" t="s">
        <v>309</v>
      </c>
    </row>
    <row r="41" spans="1:1" x14ac:dyDescent="0.25">
      <c r="A41" s="7" t="s">
        <v>310</v>
      </c>
    </row>
    <row r="42" spans="1:1" x14ac:dyDescent="0.25">
      <c r="A42" s="7" t="s">
        <v>311</v>
      </c>
    </row>
    <row r="43" spans="1:1" x14ac:dyDescent="0.25">
      <c r="A43" s="7" t="s">
        <v>312</v>
      </c>
    </row>
    <row r="44" spans="1:1" x14ac:dyDescent="0.25">
      <c r="A44" s="7" t="s">
        <v>40</v>
      </c>
    </row>
    <row r="45" spans="1:1" x14ac:dyDescent="0.25">
      <c r="A45" s="7" t="s">
        <v>313</v>
      </c>
    </row>
    <row r="46" spans="1:1" x14ac:dyDescent="0.25">
      <c r="A46" s="7" t="s">
        <v>314</v>
      </c>
    </row>
    <row r="47" spans="1:1" x14ac:dyDescent="0.25">
      <c r="A47" s="7" t="s">
        <v>315</v>
      </c>
    </row>
    <row r="48" spans="1:1" x14ac:dyDescent="0.25">
      <c r="A48" s="7" t="s">
        <v>316</v>
      </c>
    </row>
    <row r="49" spans="1:1" x14ac:dyDescent="0.25">
      <c r="A49" s="7" t="s">
        <v>317</v>
      </c>
    </row>
    <row r="50" spans="1:1" x14ac:dyDescent="0.25">
      <c r="A50" s="7" t="s">
        <v>318</v>
      </c>
    </row>
    <row r="51" spans="1:1" x14ac:dyDescent="0.25">
      <c r="A51" s="7" t="s">
        <v>47</v>
      </c>
    </row>
    <row r="52" spans="1:1" x14ac:dyDescent="0.25">
      <c r="A52" s="7" t="s">
        <v>319</v>
      </c>
    </row>
    <row r="53" spans="1:1" x14ac:dyDescent="0.25">
      <c r="A53" s="7" t="s">
        <v>320</v>
      </c>
    </row>
    <row r="54" spans="1:1" x14ac:dyDescent="0.25">
      <c r="A54" s="7" t="s">
        <v>321</v>
      </c>
    </row>
    <row r="55" spans="1:1" x14ac:dyDescent="0.25">
      <c r="A55" s="7" t="s">
        <v>322</v>
      </c>
    </row>
    <row r="56" spans="1:1" x14ac:dyDescent="0.25">
      <c r="A56" s="7" t="s">
        <v>323</v>
      </c>
    </row>
    <row r="57" spans="1:1" x14ac:dyDescent="0.25">
      <c r="A57" s="7" t="s">
        <v>324</v>
      </c>
    </row>
    <row r="58" spans="1:1" x14ac:dyDescent="0.25">
      <c r="A58" s="7" t="s">
        <v>325</v>
      </c>
    </row>
    <row r="59" spans="1:1" x14ac:dyDescent="0.25">
      <c r="A59" s="7" t="s">
        <v>315</v>
      </c>
    </row>
    <row r="60" spans="1:1" x14ac:dyDescent="0.25">
      <c r="A60" s="7" t="s">
        <v>326</v>
      </c>
    </row>
    <row r="61" spans="1:1" x14ac:dyDescent="0.25">
      <c r="A61" s="7" t="s">
        <v>327</v>
      </c>
    </row>
    <row r="62" spans="1:1" x14ac:dyDescent="0.25">
      <c r="A62" s="7" t="s">
        <v>328</v>
      </c>
    </row>
    <row r="63" spans="1:1" x14ac:dyDescent="0.25">
      <c r="A63" s="7" t="s">
        <v>329</v>
      </c>
    </row>
    <row r="64" spans="1:1" x14ac:dyDescent="0.25">
      <c r="A64" s="7" t="s">
        <v>330</v>
      </c>
    </row>
    <row r="65" spans="1:1" x14ac:dyDescent="0.25">
      <c r="A65" s="7" t="s">
        <v>331</v>
      </c>
    </row>
    <row r="66" spans="1:1" x14ac:dyDescent="0.25">
      <c r="A66" s="7" t="s">
        <v>332</v>
      </c>
    </row>
    <row r="67" spans="1:1" x14ac:dyDescent="0.25">
      <c r="A67" s="7" t="s">
        <v>333</v>
      </c>
    </row>
    <row r="68" spans="1:1" x14ac:dyDescent="0.25">
      <c r="A68" s="7" t="s">
        <v>334</v>
      </c>
    </row>
    <row r="69" spans="1:1" x14ac:dyDescent="0.25">
      <c r="A69" s="7" t="s">
        <v>335</v>
      </c>
    </row>
    <row r="70" spans="1:1" x14ac:dyDescent="0.25">
      <c r="A70" s="7" t="s">
        <v>336</v>
      </c>
    </row>
    <row r="71" spans="1:1" x14ac:dyDescent="0.25">
      <c r="A71" s="7" t="s">
        <v>26</v>
      </c>
    </row>
    <row r="72" spans="1:1" x14ac:dyDescent="0.25">
      <c r="A72" s="7" t="s">
        <v>337</v>
      </c>
    </row>
    <row r="73" spans="1:1" x14ac:dyDescent="0.25">
      <c r="A73" s="7" t="s">
        <v>25</v>
      </c>
    </row>
    <row r="74" spans="1:1" x14ac:dyDescent="0.25">
      <c r="A74" s="7" t="s">
        <v>338</v>
      </c>
    </row>
    <row r="75" spans="1:1" x14ac:dyDescent="0.25">
      <c r="A75" s="7" t="s">
        <v>339</v>
      </c>
    </row>
    <row r="76" spans="1:1" x14ac:dyDescent="0.25">
      <c r="A76" s="7" t="s">
        <v>340</v>
      </c>
    </row>
    <row r="77" spans="1:1" x14ac:dyDescent="0.25">
      <c r="A77" s="7" t="s">
        <v>313</v>
      </c>
    </row>
    <row r="78" spans="1:1" x14ac:dyDescent="0.25">
      <c r="A78" s="7" t="s">
        <v>341</v>
      </c>
    </row>
    <row r="79" spans="1:1" x14ac:dyDescent="0.25">
      <c r="A79" s="7" t="s">
        <v>342</v>
      </c>
    </row>
    <row r="80" spans="1:1" x14ac:dyDescent="0.25">
      <c r="A80" s="7" t="s">
        <v>343</v>
      </c>
    </row>
    <row r="81" spans="1:1" x14ac:dyDescent="0.25">
      <c r="A81" s="7" t="s">
        <v>344</v>
      </c>
    </row>
    <row r="82" spans="1:1" x14ac:dyDescent="0.25">
      <c r="A82" s="7" t="s">
        <v>345</v>
      </c>
    </row>
    <row r="83" spans="1:1" x14ac:dyDescent="0.25">
      <c r="A83" s="7" t="s">
        <v>346</v>
      </c>
    </row>
    <row r="84" spans="1:1" x14ac:dyDescent="0.25">
      <c r="A84" s="7" t="s">
        <v>347</v>
      </c>
    </row>
    <row r="85" spans="1:1" x14ac:dyDescent="0.25">
      <c r="A85" s="7" t="s">
        <v>348</v>
      </c>
    </row>
    <row r="86" spans="1:1" x14ac:dyDescent="0.25">
      <c r="A86" s="7" t="s">
        <v>349</v>
      </c>
    </row>
    <row r="87" spans="1:1" x14ac:dyDescent="0.25">
      <c r="A87" s="7" t="s">
        <v>350</v>
      </c>
    </row>
    <row r="88" spans="1:1" x14ac:dyDescent="0.25">
      <c r="A88" s="7" t="s">
        <v>49</v>
      </c>
    </row>
    <row r="89" spans="1:1" x14ac:dyDescent="0.25">
      <c r="A89" s="7" t="s">
        <v>351</v>
      </c>
    </row>
    <row r="90" spans="1:1" x14ac:dyDescent="0.25">
      <c r="A90" s="7" t="s">
        <v>352</v>
      </c>
    </row>
    <row r="91" spans="1:1" x14ac:dyDescent="0.25">
      <c r="A91" s="7" t="s">
        <v>353</v>
      </c>
    </row>
    <row r="92" spans="1:1" x14ac:dyDescent="0.25">
      <c r="A92" s="7" t="s">
        <v>354</v>
      </c>
    </row>
    <row r="93" spans="1:1" x14ac:dyDescent="0.25">
      <c r="A93" s="7" t="s">
        <v>355</v>
      </c>
    </row>
    <row r="94" spans="1:1" x14ac:dyDescent="0.25">
      <c r="A94" s="7" t="s">
        <v>34</v>
      </c>
    </row>
    <row r="95" spans="1:1" x14ac:dyDescent="0.25">
      <c r="A95" s="7" t="s">
        <v>25</v>
      </c>
    </row>
    <row r="96" spans="1:1" x14ac:dyDescent="0.25">
      <c r="A96" s="7" t="s">
        <v>356</v>
      </c>
    </row>
    <row r="97" spans="1:1" x14ac:dyDescent="0.25">
      <c r="A97" s="7" t="s">
        <v>357</v>
      </c>
    </row>
    <row r="98" spans="1:1" x14ac:dyDescent="0.25">
      <c r="A98" s="7" t="s">
        <v>358</v>
      </c>
    </row>
    <row r="99" spans="1:1" x14ac:dyDescent="0.25">
      <c r="A99" s="7" t="s">
        <v>359</v>
      </c>
    </row>
    <row r="100" spans="1:1" x14ac:dyDescent="0.25">
      <c r="A100" s="7" t="s">
        <v>360</v>
      </c>
    </row>
    <row r="101" spans="1:1" x14ac:dyDescent="0.25">
      <c r="A101" s="7" t="s">
        <v>361</v>
      </c>
    </row>
    <row r="102" spans="1:1" x14ac:dyDescent="0.25">
      <c r="A102" s="7" t="s">
        <v>362</v>
      </c>
    </row>
    <row r="103" spans="1:1" x14ac:dyDescent="0.25">
      <c r="A103" s="7" t="s">
        <v>363</v>
      </c>
    </row>
    <row r="104" spans="1:1" x14ac:dyDescent="0.25">
      <c r="A104" s="7" t="s">
        <v>364</v>
      </c>
    </row>
    <row r="105" spans="1:1" x14ac:dyDescent="0.25">
      <c r="A105" s="7" t="s">
        <v>365</v>
      </c>
    </row>
    <row r="106" spans="1:1" x14ac:dyDescent="0.25">
      <c r="A106" s="7" t="s">
        <v>366</v>
      </c>
    </row>
    <row r="107" spans="1:1" x14ac:dyDescent="0.25">
      <c r="A107" s="7" t="s">
        <v>367</v>
      </c>
    </row>
    <row r="108" spans="1:1" x14ac:dyDescent="0.25">
      <c r="A108" s="7" t="s">
        <v>368</v>
      </c>
    </row>
    <row r="109" spans="1:1" x14ac:dyDescent="0.25">
      <c r="A109" s="7" t="s">
        <v>369</v>
      </c>
    </row>
    <row r="112" spans="1:1" x14ac:dyDescent="0.25">
      <c r="A112" s="7" t="s">
        <v>370</v>
      </c>
    </row>
    <row r="113" spans="1:1" x14ac:dyDescent="0.25">
      <c r="A113" s="7" t="s">
        <v>371</v>
      </c>
    </row>
    <row r="114" spans="1:1" x14ac:dyDescent="0.25">
      <c r="A114" s="7" t="s">
        <v>372</v>
      </c>
    </row>
    <row r="115" spans="1:1" x14ac:dyDescent="0.25">
      <c r="A115" s="7" t="s">
        <v>373</v>
      </c>
    </row>
    <row r="116" spans="1:1" x14ac:dyDescent="0.25">
      <c r="A116" s="7" t="s">
        <v>374</v>
      </c>
    </row>
    <row r="117" spans="1:1" x14ac:dyDescent="0.25">
      <c r="A117" s="7" t="s">
        <v>375</v>
      </c>
    </row>
    <row r="118" spans="1:1" x14ac:dyDescent="0.25">
      <c r="A118" s="7" t="s">
        <v>376</v>
      </c>
    </row>
    <row r="119" spans="1:1" x14ac:dyDescent="0.25">
      <c r="A119" s="7" t="s">
        <v>377</v>
      </c>
    </row>
    <row r="120" spans="1:1" x14ac:dyDescent="0.25">
      <c r="A120" s="7" t="s">
        <v>378</v>
      </c>
    </row>
    <row r="121" spans="1:1" x14ac:dyDescent="0.25">
      <c r="A121" s="7" t="s">
        <v>379</v>
      </c>
    </row>
    <row r="122" spans="1:1" x14ac:dyDescent="0.25">
      <c r="A122" s="7" t="s">
        <v>380</v>
      </c>
    </row>
    <row r="123" spans="1:1" x14ac:dyDescent="0.25">
      <c r="A123" s="7" t="s">
        <v>381</v>
      </c>
    </row>
    <row r="124" spans="1:1" x14ac:dyDescent="0.25">
      <c r="A124" s="7" t="s">
        <v>382</v>
      </c>
    </row>
    <row r="125" spans="1:1" x14ac:dyDescent="0.25">
      <c r="A125" s="7" t="s">
        <v>383</v>
      </c>
    </row>
    <row r="126" spans="1:1" x14ac:dyDescent="0.25">
      <c r="A126" s="7" t="s">
        <v>384</v>
      </c>
    </row>
    <row r="127" spans="1:1" x14ac:dyDescent="0.25">
      <c r="A127" s="7" t="s">
        <v>385</v>
      </c>
    </row>
    <row r="128" spans="1:1" x14ac:dyDescent="0.25">
      <c r="A128" s="7" t="s">
        <v>386</v>
      </c>
    </row>
    <row r="129" spans="1:1" x14ac:dyDescent="0.25">
      <c r="A129" s="7" t="s">
        <v>387</v>
      </c>
    </row>
    <row r="130" spans="1:1" x14ac:dyDescent="0.25">
      <c r="A130" s="7" t="s">
        <v>388</v>
      </c>
    </row>
    <row r="131" spans="1:1" x14ac:dyDescent="0.25">
      <c r="A131" s="7" t="s">
        <v>389</v>
      </c>
    </row>
    <row r="132" spans="1:1" x14ac:dyDescent="0.25">
      <c r="A132" s="7" t="s">
        <v>390</v>
      </c>
    </row>
    <row r="133" spans="1:1" x14ac:dyDescent="0.25">
      <c r="A133" s="7" t="s">
        <v>391</v>
      </c>
    </row>
    <row r="134" spans="1:1" x14ac:dyDescent="0.25">
      <c r="A134" s="7" t="s">
        <v>392</v>
      </c>
    </row>
    <row r="135" spans="1:1" x14ac:dyDescent="0.25">
      <c r="A135" s="7" t="s">
        <v>393</v>
      </c>
    </row>
    <row r="136" spans="1:1" x14ac:dyDescent="0.25">
      <c r="A136" s="7" t="s">
        <v>394</v>
      </c>
    </row>
    <row r="137" spans="1:1" x14ac:dyDescent="0.25">
      <c r="A137" s="7" t="s">
        <v>395</v>
      </c>
    </row>
    <row r="138" spans="1:1" x14ac:dyDescent="0.25">
      <c r="A138" s="7" t="s">
        <v>396</v>
      </c>
    </row>
    <row r="139" spans="1:1" x14ac:dyDescent="0.25">
      <c r="A139" s="7" t="s">
        <v>397</v>
      </c>
    </row>
    <row r="140" spans="1:1" x14ac:dyDescent="0.25">
      <c r="A140" s="7" t="s">
        <v>398</v>
      </c>
    </row>
    <row r="141" spans="1:1" x14ac:dyDescent="0.25">
      <c r="A141" s="15" t="s">
        <v>399</v>
      </c>
    </row>
    <row r="142" spans="1:1" x14ac:dyDescent="0.25">
      <c r="A142" s="7" t="s">
        <v>400</v>
      </c>
    </row>
    <row r="143" spans="1:1" x14ac:dyDescent="0.25">
      <c r="A143" s="15" t="s">
        <v>394</v>
      </c>
    </row>
    <row r="144" spans="1:1" x14ac:dyDescent="0.25">
      <c r="A144" s="7" t="s">
        <v>401</v>
      </c>
    </row>
    <row r="145" spans="1:1" x14ac:dyDescent="0.25">
      <c r="A145" s="7" t="s">
        <v>402</v>
      </c>
    </row>
    <row r="146" spans="1:1" x14ac:dyDescent="0.25">
      <c r="A146" s="7" t="s">
        <v>403</v>
      </c>
    </row>
    <row r="147" spans="1:1" x14ac:dyDescent="0.25">
      <c r="A147" s="15" t="s">
        <v>404</v>
      </c>
    </row>
    <row r="148" spans="1:1" x14ac:dyDescent="0.25">
      <c r="A148" s="7" t="s">
        <v>405</v>
      </c>
    </row>
    <row r="149" spans="1:1" x14ac:dyDescent="0.25">
      <c r="A149" s="15" t="s">
        <v>406</v>
      </c>
    </row>
    <row r="150" spans="1:1" x14ac:dyDescent="0.25">
      <c r="A150" s="7" t="s">
        <v>407</v>
      </c>
    </row>
    <row r="151" spans="1:1" x14ac:dyDescent="0.25">
      <c r="A151" s="7" t="s">
        <v>408</v>
      </c>
    </row>
    <row r="152" spans="1:1" x14ac:dyDescent="0.25">
      <c r="A152" s="7" t="s">
        <v>409</v>
      </c>
    </row>
    <row r="153" spans="1:1" x14ac:dyDescent="0.25">
      <c r="A153" s="7" t="s">
        <v>410</v>
      </c>
    </row>
    <row r="154" spans="1:1" x14ac:dyDescent="0.25">
      <c r="A154" s="15" t="s">
        <v>411</v>
      </c>
    </row>
    <row r="155" spans="1:1" x14ac:dyDescent="0.25">
      <c r="A155" s="15" t="s">
        <v>412</v>
      </c>
    </row>
    <row r="156" spans="1:1" x14ac:dyDescent="0.25">
      <c r="A156" s="7" t="s">
        <v>413</v>
      </c>
    </row>
    <row r="157" spans="1:1" x14ac:dyDescent="0.25">
      <c r="A157" s="7" t="s">
        <v>414</v>
      </c>
    </row>
    <row r="158" spans="1:1" x14ac:dyDescent="0.25">
      <c r="A158" s="7" t="s">
        <v>415</v>
      </c>
    </row>
    <row r="159" spans="1:1" x14ac:dyDescent="0.25">
      <c r="A159" s="15" t="s">
        <v>416</v>
      </c>
    </row>
    <row r="160" spans="1:1" x14ac:dyDescent="0.25">
      <c r="A160" s="7" t="s">
        <v>417</v>
      </c>
    </row>
    <row r="161" spans="1:1" x14ac:dyDescent="0.25">
      <c r="A161" s="18" t="s">
        <v>418</v>
      </c>
    </row>
    <row r="162" spans="1:1" x14ac:dyDescent="0.25">
      <c r="A162" s="7" t="s">
        <v>419</v>
      </c>
    </row>
    <row r="163" spans="1:1" x14ac:dyDescent="0.25">
      <c r="A163" s="7" t="s">
        <v>420</v>
      </c>
    </row>
    <row r="164" spans="1:1" x14ac:dyDescent="0.25">
      <c r="A164" s="7" t="s">
        <v>421</v>
      </c>
    </row>
    <row r="165" spans="1:1" x14ac:dyDescent="0.25">
      <c r="A165" s="7" t="s">
        <v>422</v>
      </c>
    </row>
    <row r="166" spans="1:1" x14ac:dyDescent="0.25">
      <c r="A166" s="7" t="s">
        <v>423</v>
      </c>
    </row>
    <row r="167" spans="1:1" x14ac:dyDescent="0.25">
      <c r="A167" s="7" t="s">
        <v>424</v>
      </c>
    </row>
    <row r="168" spans="1:1" x14ac:dyDescent="0.25">
      <c r="A168" s="7" t="s">
        <v>425</v>
      </c>
    </row>
    <row r="169" spans="1:1" x14ac:dyDescent="0.25">
      <c r="A169" s="7" t="s">
        <v>48</v>
      </c>
    </row>
    <row r="170" spans="1:1" x14ac:dyDescent="0.25">
      <c r="A170" s="7" t="s">
        <v>426</v>
      </c>
    </row>
    <row r="171" spans="1:1" x14ac:dyDescent="0.25">
      <c r="A171" s="7" t="s">
        <v>350</v>
      </c>
    </row>
    <row r="172" spans="1:1" x14ac:dyDescent="0.25">
      <c r="A172" s="7" t="s">
        <v>427</v>
      </c>
    </row>
    <row r="173" spans="1:1" x14ac:dyDescent="0.25">
      <c r="A173" s="15" t="s">
        <v>428</v>
      </c>
    </row>
    <row r="174" spans="1:1" x14ac:dyDescent="0.25">
      <c r="A174" s="15" t="s">
        <v>429</v>
      </c>
    </row>
    <row r="175" spans="1:1" x14ac:dyDescent="0.25">
      <c r="A175" s="7" t="s">
        <v>430</v>
      </c>
    </row>
    <row r="176" spans="1:1" x14ac:dyDescent="0.25">
      <c r="A176" s="7" t="s">
        <v>46</v>
      </c>
    </row>
    <row r="177" spans="1:1" x14ac:dyDescent="0.25">
      <c r="A177" s="7" t="s">
        <v>431</v>
      </c>
    </row>
    <row r="178" spans="1:1" x14ac:dyDescent="0.25">
      <c r="A178" s="15" t="s">
        <v>432</v>
      </c>
    </row>
    <row r="179" spans="1:1" x14ac:dyDescent="0.25">
      <c r="A179" s="7" t="s">
        <v>433</v>
      </c>
    </row>
    <row r="180" spans="1:1" x14ac:dyDescent="0.25">
      <c r="A180" s="7" t="s">
        <v>434</v>
      </c>
    </row>
    <row r="181" spans="1:1" x14ac:dyDescent="0.25">
      <c r="A181" s="7" t="s">
        <v>435</v>
      </c>
    </row>
    <row r="182" spans="1:1" x14ac:dyDescent="0.25">
      <c r="A182" s="7" t="s">
        <v>436</v>
      </c>
    </row>
    <row r="183" spans="1:1" x14ac:dyDescent="0.25">
      <c r="A183" s="7" t="s">
        <v>437</v>
      </c>
    </row>
    <row r="184" spans="1:1" x14ac:dyDescent="0.25">
      <c r="A184" s="7" t="s">
        <v>438</v>
      </c>
    </row>
    <row r="185" spans="1:1" x14ac:dyDescent="0.25">
      <c r="A185" s="7" t="s">
        <v>439</v>
      </c>
    </row>
    <row r="186" spans="1:1" x14ac:dyDescent="0.25">
      <c r="A186" s="7" t="s">
        <v>440</v>
      </c>
    </row>
    <row r="187" spans="1:1" x14ac:dyDescent="0.25">
      <c r="A187" s="7" t="s">
        <v>441</v>
      </c>
    </row>
    <row r="188" spans="1:1" x14ac:dyDescent="0.25">
      <c r="A188" s="7" t="s">
        <v>442</v>
      </c>
    </row>
    <row r="189" spans="1:1" x14ac:dyDescent="0.25">
      <c r="A189" s="7" t="s">
        <v>443</v>
      </c>
    </row>
    <row r="190" spans="1:1" x14ac:dyDescent="0.25">
      <c r="A190" s="7" t="s">
        <v>444</v>
      </c>
    </row>
    <row r="191" spans="1:1" x14ac:dyDescent="0.25">
      <c r="A191" s="7" t="s">
        <v>445</v>
      </c>
    </row>
    <row r="192" spans="1:1" x14ac:dyDescent="0.25">
      <c r="A192" s="7" t="s">
        <v>446</v>
      </c>
    </row>
    <row r="193" spans="1:1" x14ac:dyDescent="0.25">
      <c r="A193" s="7" t="s">
        <v>447</v>
      </c>
    </row>
    <row r="194" spans="1:1" x14ac:dyDescent="0.25">
      <c r="A194" s="7" t="s">
        <v>448</v>
      </c>
    </row>
    <row r="195" spans="1:1" x14ac:dyDescent="0.25">
      <c r="A195" s="7" t="s">
        <v>449</v>
      </c>
    </row>
    <row r="196" spans="1:1" x14ac:dyDescent="0.25">
      <c r="A196" s="7" t="s">
        <v>450</v>
      </c>
    </row>
    <row r="197" spans="1:1" x14ac:dyDescent="0.25">
      <c r="A197" s="7" t="s">
        <v>451</v>
      </c>
    </row>
    <row r="198" spans="1:1" x14ac:dyDescent="0.25">
      <c r="A198" s="7" t="s">
        <v>423</v>
      </c>
    </row>
    <row r="199" spans="1:1" x14ac:dyDescent="0.25">
      <c r="A199" s="7" t="s">
        <v>452</v>
      </c>
    </row>
    <row r="200" spans="1:1" x14ac:dyDescent="0.25">
      <c r="A200" s="7" t="s">
        <v>453</v>
      </c>
    </row>
    <row r="201" spans="1:1" x14ac:dyDescent="0.25">
      <c r="A201" s="7" t="s">
        <v>454</v>
      </c>
    </row>
    <row r="202" spans="1:1" x14ac:dyDescent="0.25">
      <c r="A202" s="7" t="s">
        <v>455</v>
      </c>
    </row>
    <row r="203" spans="1:1" x14ac:dyDescent="0.25">
      <c r="A203" s="27" t="s">
        <v>456</v>
      </c>
    </row>
    <row r="204" spans="1:1" x14ac:dyDescent="0.25">
      <c r="A204" s="7" t="s">
        <v>457</v>
      </c>
    </row>
    <row r="205" spans="1:1" x14ac:dyDescent="0.25">
      <c r="A205" s="7" t="s">
        <v>458</v>
      </c>
    </row>
    <row r="206" spans="1:1" x14ac:dyDescent="0.25">
      <c r="A206" s="7" t="s">
        <v>459</v>
      </c>
    </row>
    <row r="207" spans="1:1" x14ac:dyDescent="0.25">
      <c r="A207" s="7" t="s">
        <v>460</v>
      </c>
    </row>
    <row r="208" spans="1:1" x14ac:dyDescent="0.25">
      <c r="A208" s="7" t="s">
        <v>461</v>
      </c>
    </row>
    <row r="209" spans="1:1" x14ac:dyDescent="0.25">
      <c r="A209" s="7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ODS</vt:lpstr>
      <vt:lpstr>Guias</vt:lpstr>
      <vt:lpstr>Hotel</vt:lpstr>
      <vt:lpstr>Vuelos</vt:lpstr>
      <vt:lpstr>Actividades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Daniel Carrasco</cp:lastModifiedBy>
  <cp:revision/>
  <cp:lastPrinted>2025-08-20T14:04:25Z</cp:lastPrinted>
  <dcterms:created xsi:type="dcterms:W3CDTF">2015-05-13T19:19:07Z</dcterms:created>
  <dcterms:modified xsi:type="dcterms:W3CDTF">2025-08-20T15:49:12Z</dcterms:modified>
  <cp:category/>
  <cp:contentStatus/>
</cp:coreProperties>
</file>